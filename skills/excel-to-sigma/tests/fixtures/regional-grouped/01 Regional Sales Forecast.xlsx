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Input" sheetId="1" state="visible" r:id="rId1"/>
    <sheet name="Region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;[Red](#,##0)"/>
    <numFmt numFmtId="166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7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by Product Line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'Summary'!$A$12:$A$23</f>
            </numRef>
          </cat>
          <val>
            <numRef>
              <f>'Summary'!$B$12:$B$23</f>
            </numRef>
          </val>
        </ser>
        <ser>
          <idx val="1"/>
          <order val="1"/>
          <tx>
            <strRef>
              <f>'Summary'!C11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'Summary'!$A$12:$A$23</f>
            </numRef>
          </cat>
          <val>
            <numRef>
              <f>'Summary'!$C$12:$C$23</f>
            </numRef>
          </val>
        </ser>
        <ser>
          <idx val="2"/>
          <order val="2"/>
          <tx>
            <strRef>
              <f>'Summary'!D11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'Summary'!$A$12:$A$23</f>
            </numRef>
          </cat>
          <val>
            <numRef>
              <f>'Summary'!$D$12:$D$23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FY26 Forecast vs Target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'Summary'!F3</f>
            </strRef>
          </tx>
          <spPr>
            <a:ln>
              <a:prstDash val="solid"/>
            </a:ln>
          </spPr>
          <cat>
            <numRef>
              <f>'Summary'!$A$4:$A$7</f>
            </numRef>
          </cat>
          <val>
            <numRef>
              <f>'Summary'!$F$4:$F$7</f>
            </numRef>
          </val>
        </ser>
        <ser>
          <idx val="1"/>
          <order val="1"/>
          <tx>
            <strRef>
              <f>'Summary'!G3</f>
            </strRef>
          </tx>
          <spPr>
            <a:ln>
              <a:prstDash val="solid"/>
            </a:ln>
          </spPr>
          <cat>
            <numRef>
              <f>'Summary'!$A$4:$A$7</f>
            </numRef>
          </cat>
          <val>
            <numRef>
              <f>'Summary'!$G$4:$G$7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SalesForecast" displayName="tblSalesForecast" ref="A1:F145" headerRowCount="1">
  <autoFilter ref="A1:F145"/>
  <tableColumns count="6">
    <tableColumn id="1" name="Region"/>
    <tableColumn id="2" name="Product Line"/>
    <tableColumn id="3" name="Month"/>
    <tableColumn id="4" name="Units"/>
    <tableColumn id="5" name="Avg Price"/>
    <tableColumn id="6" name="Revenue">
      <calculatedColumnFormula>tblSalesForecast[[#This Row],[Units]]*tblSalesForecast[[#This Row],[Avg Price]]</calculatedColumnFormula>
    </tableColumn>
  </tableColumns>
  <tableStyleInfo name="TableStyleMedium2" showRowStripes="1"/>
</table>
</file>

<file path=xl/tables/table2.xml><?xml version="1.0" encoding="utf-8"?>
<table xmlns="http://schemas.openxmlformats.org/spreadsheetml/2006/main" id="2" name="tblRegions" displayName="tblRegions" ref="A1:C5" headerRowCount="1">
  <autoFilter ref="A1:C5"/>
  <tableColumns count="3">
    <tableColumn id="1" name="Region"/>
    <tableColumn id="2" name="Region Manager"/>
    <tableColumn id="3" name="FY26 Targe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 Line</t>
        </is>
      </c>
      <c r="C1" s="1" t="inlineStr">
        <is>
          <t>Month</t>
        </is>
      </c>
      <c r="D1" s="1" t="inlineStr">
        <is>
          <t>Units</t>
        </is>
      </c>
      <c r="E1" s="1" t="inlineStr">
        <is>
          <t>Avg Price</t>
        </is>
      </c>
      <c r="F1" s="1" t="inlineStr">
        <is>
          <t>Revenue</t>
        </is>
      </c>
    </row>
    <row r="2">
      <c r="A2" t="inlineStr">
        <is>
          <t>West</t>
        </is>
      </c>
      <c r="B2" t="inlineStr">
        <is>
          <t>Hardware</t>
        </is>
      </c>
      <c r="C2" s="2" t="n">
        <v>46023</v>
      </c>
      <c r="D2" t="n">
        <v>493</v>
      </c>
      <c r="E2" t="n">
        <v>310</v>
      </c>
      <c r="F2" s="3">
        <f>tblSalesForecast[[#This Row],[Units]]*tblSalesForecast[[#This Row],[Avg Price]]</f>
        <v>152830</v>
      </c>
    </row>
    <row r="3">
      <c r="A3" t="inlineStr">
        <is>
          <t>West</t>
        </is>
      </c>
      <c r="B3" t="inlineStr">
        <is>
          <t>Hardware</t>
        </is>
      </c>
      <c r="C3" s="2" t="n">
        <v>46054</v>
      </c>
      <c r="D3" t="n">
        <v>535</v>
      </c>
      <c r="E3" t="n">
        <v>311.24</v>
      </c>
      <c r="F3" s="3">
        <f>tblSalesForecast[[#This Row],[Units]]*tblSalesForecast[[#This Row],[Avg Price]]</f>
        <v>166513.4</v>
      </c>
    </row>
    <row r="4">
      <c r="A4" t="inlineStr">
        <is>
          <t>West</t>
        </is>
      </c>
      <c r="B4" t="inlineStr">
        <is>
          <t>Hardware</t>
        </is>
      </c>
      <c r="C4" s="2" t="n">
        <v>46082</v>
      </c>
      <c r="D4" t="n">
        <v>567</v>
      </c>
      <c r="E4" t="n">
        <v>312.48</v>
      </c>
      <c r="F4" s="3">
        <f>tblSalesForecast[[#This Row],[Units]]*tblSalesForecast[[#This Row],[Avg Price]]</f>
        <v>177176.16</v>
      </c>
    </row>
    <row r="5">
      <c r="A5" t="inlineStr">
        <is>
          <t>West</t>
        </is>
      </c>
      <c r="B5" t="inlineStr">
        <is>
          <t>Hardware</t>
        </is>
      </c>
      <c r="C5" s="2" t="n">
        <v>46113</v>
      </c>
      <c r="D5" t="n">
        <v>579</v>
      </c>
      <c r="E5" t="n">
        <v>313.72</v>
      </c>
      <c r="F5" s="3">
        <f>tblSalesForecast[[#This Row],[Units]]*tblSalesForecast[[#This Row],[Avg Price]]</f>
        <v>181643.88</v>
      </c>
    </row>
    <row r="6">
      <c r="A6" t="inlineStr">
        <is>
          <t>West</t>
        </is>
      </c>
      <c r="B6" t="inlineStr">
        <is>
          <t>Hardware</t>
        </is>
      </c>
      <c r="C6" s="2" t="n">
        <v>46143</v>
      </c>
      <c r="D6" t="n">
        <v>580</v>
      </c>
      <c r="E6" t="n">
        <v>314.96</v>
      </c>
      <c r="F6" s="3">
        <f>tblSalesForecast[[#This Row],[Units]]*tblSalesForecast[[#This Row],[Avg Price]]</f>
        <v>182676.8</v>
      </c>
    </row>
    <row r="7">
      <c r="A7" t="inlineStr">
        <is>
          <t>West</t>
        </is>
      </c>
      <c r="B7" t="inlineStr">
        <is>
          <t>Hardware</t>
        </is>
      </c>
      <c r="C7" s="2" t="n">
        <v>46174</v>
      </c>
      <c r="D7" t="n">
        <v>550</v>
      </c>
      <c r="E7" t="n">
        <v>316.2</v>
      </c>
      <c r="F7" s="3">
        <f>tblSalesForecast[[#This Row],[Units]]*tblSalesForecast[[#This Row],[Avg Price]]</f>
        <v>173910</v>
      </c>
    </row>
    <row r="8">
      <c r="A8" t="inlineStr">
        <is>
          <t>West</t>
        </is>
      </c>
      <c r="B8" t="inlineStr">
        <is>
          <t>Hardware</t>
        </is>
      </c>
      <c r="C8" s="2" t="n">
        <v>46204</v>
      </c>
      <c r="D8" t="n">
        <v>542</v>
      </c>
      <c r="E8" t="n">
        <v>317.44</v>
      </c>
      <c r="F8" s="3">
        <f>tblSalesForecast[[#This Row],[Units]]*tblSalesForecast[[#This Row],[Avg Price]]</f>
        <v>172052.48</v>
      </c>
    </row>
    <row r="9">
      <c r="A9" t="inlineStr">
        <is>
          <t>West</t>
        </is>
      </c>
      <c r="B9" t="inlineStr">
        <is>
          <t>Hardware</t>
        </is>
      </c>
      <c r="C9" s="2" t="n">
        <v>46235</v>
      </c>
      <c r="D9" t="n">
        <v>522</v>
      </c>
      <c r="E9" t="n">
        <v>318.68</v>
      </c>
      <c r="F9" s="3">
        <f>tblSalesForecast[[#This Row],[Units]]*tblSalesForecast[[#This Row],[Avg Price]]</f>
        <v>166350.96</v>
      </c>
    </row>
    <row r="10">
      <c r="A10" t="inlineStr">
        <is>
          <t>West</t>
        </is>
      </c>
      <c r="B10" t="inlineStr">
        <is>
          <t>Hardware</t>
        </is>
      </c>
      <c r="C10" s="2" t="n">
        <v>46266</v>
      </c>
      <c r="D10" t="n">
        <v>525</v>
      </c>
      <c r="E10" t="n">
        <v>319.92</v>
      </c>
      <c r="F10" s="3">
        <f>tblSalesForecast[[#This Row],[Units]]*tblSalesForecast[[#This Row],[Avg Price]]</f>
        <v>167958</v>
      </c>
    </row>
    <row r="11">
      <c r="A11" t="inlineStr">
        <is>
          <t>West</t>
        </is>
      </c>
      <c r="B11" t="inlineStr">
        <is>
          <t>Hardware</t>
        </is>
      </c>
      <c r="C11" s="2" t="n">
        <v>46296</v>
      </c>
      <c r="D11" t="n">
        <v>535</v>
      </c>
      <c r="E11" t="n">
        <v>321.16</v>
      </c>
      <c r="F11" s="3">
        <f>tblSalesForecast[[#This Row],[Units]]*tblSalesForecast[[#This Row],[Avg Price]]</f>
        <v>171820.6</v>
      </c>
    </row>
    <row r="12">
      <c r="A12" t="inlineStr">
        <is>
          <t>West</t>
        </is>
      </c>
      <c r="B12" t="inlineStr">
        <is>
          <t>Hardware</t>
        </is>
      </c>
      <c r="C12" s="2" t="n">
        <v>46327</v>
      </c>
      <c r="D12" t="n">
        <v>539</v>
      </c>
      <c r="E12" t="n">
        <v>322.4</v>
      </c>
      <c r="F12" s="3">
        <f>tblSalesForecast[[#This Row],[Units]]*tblSalesForecast[[#This Row],[Avg Price]]</f>
        <v>173773.59999999998</v>
      </c>
    </row>
    <row r="13">
      <c r="A13" t="inlineStr">
        <is>
          <t>West</t>
        </is>
      </c>
      <c r="B13" t="inlineStr">
        <is>
          <t>Hardware</t>
        </is>
      </c>
      <c r="C13" s="2" t="n">
        <v>46357</v>
      </c>
      <c r="D13" t="n">
        <v>565</v>
      </c>
      <c r="E13" t="n">
        <v>323.64</v>
      </c>
      <c r="F13" s="3">
        <f>tblSalesForecast[[#This Row],[Units]]*tblSalesForecast[[#This Row],[Avg Price]]</f>
        <v>182856.6</v>
      </c>
    </row>
    <row r="14">
      <c r="A14" t="inlineStr">
        <is>
          <t>West</t>
        </is>
      </c>
      <c r="B14" t="inlineStr">
        <is>
          <t>Software</t>
        </is>
      </c>
      <c r="C14" s="2" t="n">
        <v>46023</v>
      </c>
      <c r="D14" t="n">
        <v>1085</v>
      </c>
      <c r="E14" t="n">
        <v>95</v>
      </c>
      <c r="F14" s="3">
        <f>tblSalesForecast[[#This Row],[Units]]*tblSalesForecast[[#This Row],[Avg Price]]</f>
        <v>103075</v>
      </c>
    </row>
    <row r="15">
      <c r="A15" t="inlineStr">
        <is>
          <t>West</t>
        </is>
      </c>
      <c r="B15" t="inlineStr">
        <is>
          <t>Software</t>
        </is>
      </c>
      <c r="C15" s="2" t="n">
        <v>46054</v>
      </c>
      <c r="D15" t="n">
        <v>1137</v>
      </c>
      <c r="E15" t="n">
        <v>95.38</v>
      </c>
      <c r="F15" s="3">
        <f>tblSalesForecast[[#This Row],[Units]]*tblSalesForecast[[#This Row],[Avg Price]]</f>
        <v>108447.06</v>
      </c>
    </row>
    <row r="16">
      <c r="A16" t="inlineStr">
        <is>
          <t>West</t>
        </is>
      </c>
      <c r="B16" t="inlineStr">
        <is>
          <t>Software</t>
        </is>
      </c>
      <c r="C16" s="2" t="n">
        <v>46082</v>
      </c>
      <c r="D16" t="n">
        <v>1200</v>
      </c>
      <c r="E16" t="n">
        <v>95.76000000000001</v>
      </c>
      <c r="F16" s="3">
        <f>tblSalesForecast[[#This Row],[Units]]*tblSalesForecast[[#This Row],[Avg Price]]</f>
        <v>114912</v>
      </c>
    </row>
    <row r="17">
      <c r="A17" t="inlineStr">
        <is>
          <t>West</t>
        </is>
      </c>
      <c r="B17" t="inlineStr">
        <is>
          <t>Software</t>
        </is>
      </c>
      <c r="C17" s="2" t="n">
        <v>46113</v>
      </c>
      <c r="D17" t="n">
        <v>1210</v>
      </c>
      <c r="E17" t="n">
        <v>96.14</v>
      </c>
      <c r="F17" s="3">
        <f>tblSalesForecast[[#This Row],[Units]]*tblSalesForecast[[#This Row],[Avg Price]]</f>
        <v>116329.4</v>
      </c>
    </row>
    <row r="18">
      <c r="A18" t="inlineStr">
        <is>
          <t>West</t>
        </is>
      </c>
      <c r="B18" t="inlineStr">
        <is>
          <t>Software</t>
        </is>
      </c>
      <c r="C18" s="2" t="n">
        <v>46143</v>
      </c>
      <c r="D18" t="n">
        <v>1212</v>
      </c>
      <c r="E18" t="n">
        <v>96.52</v>
      </c>
      <c r="F18" s="3">
        <f>tblSalesForecast[[#This Row],[Units]]*tblSalesForecast[[#This Row],[Avg Price]]</f>
        <v>116982.23999999999</v>
      </c>
    </row>
    <row r="19">
      <c r="A19" t="inlineStr">
        <is>
          <t>West</t>
        </is>
      </c>
      <c r="B19" t="inlineStr">
        <is>
          <t>Software</t>
        </is>
      </c>
      <c r="C19" s="2" t="n">
        <v>46174</v>
      </c>
      <c r="D19" t="n">
        <v>1206</v>
      </c>
      <c r="E19" t="n">
        <v>96.90000000000001</v>
      </c>
      <c r="F19" s="3">
        <f>tblSalesForecast[[#This Row],[Units]]*tblSalesForecast[[#This Row],[Avg Price]]</f>
        <v>116861.40000000001</v>
      </c>
    </row>
    <row r="20">
      <c r="A20" t="inlineStr">
        <is>
          <t>West</t>
        </is>
      </c>
      <c r="B20" t="inlineStr">
        <is>
          <t>Software</t>
        </is>
      </c>
      <c r="C20" s="2" t="n">
        <v>46204</v>
      </c>
      <c r="D20" t="n">
        <v>1161</v>
      </c>
      <c r="E20" t="n">
        <v>97.28</v>
      </c>
      <c r="F20" s="3">
        <f>tblSalesForecast[[#This Row],[Units]]*tblSalesForecast[[#This Row],[Avg Price]]</f>
        <v>112942.08</v>
      </c>
    </row>
    <row r="21">
      <c r="A21" t="inlineStr">
        <is>
          <t>West</t>
        </is>
      </c>
      <c r="B21" t="inlineStr">
        <is>
          <t>Software</t>
        </is>
      </c>
      <c r="C21" s="2" t="n">
        <v>46235</v>
      </c>
      <c r="D21" t="n">
        <v>1157</v>
      </c>
      <c r="E21" t="n">
        <v>97.66</v>
      </c>
      <c r="F21" s="3">
        <f>tblSalesForecast[[#This Row],[Units]]*tblSalesForecast[[#This Row],[Avg Price]]</f>
        <v>112992.62</v>
      </c>
    </row>
    <row r="22">
      <c r="A22" t="inlineStr">
        <is>
          <t>West</t>
        </is>
      </c>
      <c r="B22" t="inlineStr">
        <is>
          <t>Software</t>
        </is>
      </c>
      <c r="C22" s="2" t="n">
        <v>46266</v>
      </c>
      <c r="D22" t="n">
        <v>1136</v>
      </c>
      <c r="E22" t="n">
        <v>98.04000000000001</v>
      </c>
      <c r="F22" s="3">
        <f>tblSalesForecast[[#This Row],[Units]]*tblSalesForecast[[#This Row],[Avg Price]]</f>
        <v>111373.44</v>
      </c>
    </row>
    <row r="23">
      <c r="A23" t="inlineStr">
        <is>
          <t>West</t>
        </is>
      </c>
      <c r="B23" t="inlineStr">
        <is>
          <t>Software</t>
        </is>
      </c>
      <c r="C23" s="2" t="n">
        <v>46296</v>
      </c>
      <c r="D23" t="n">
        <v>1125</v>
      </c>
      <c r="E23" t="n">
        <v>98.42</v>
      </c>
      <c r="F23" s="3">
        <f>tblSalesForecast[[#This Row],[Units]]*tblSalesForecast[[#This Row],[Avg Price]]</f>
        <v>110722.5</v>
      </c>
    </row>
    <row r="24">
      <c r="A24" t="inlineStr">
        <is>
          <t>West</t>
        </is>
      </c>
      <c r="B24" t="inlineStr">
        <is>
          <t>Software</t>
        </is>
      </c>
      <c r="C24" s="2" t="n">
        <v>46327</v>
      </c>
      <c r="D24" t="n">
        <v>1155</v>
      </c>
      <c r="E24" t="n">
        <v>98.8</v>
      </c>
      <c r="F24" s="3">
        <f>tblSalesForecast[[#This Row],[Units]]*tblSalesForecast[[#This Row],[Avg Price]]</f>
        <v>114114</v>
      </c>
    </row>
    <row r="25">
      <c r="A25" t="inlineStr">
        <is>
          <t>West</t>
        </is>
      </c>
      <c r="B25" t="inlineStr">
        <is>
          <t>Software</t>
        </is>
      </c>
      <c r="C25" s="2" t="n">
        <v>46357</v>
      </c>
      <c r="D25" t="n">
        <v>1214</v>
      </c>
      <c r="E25" t="n">
        <v>99.18000000000001</v>
      </c>
      <c r="F25" s="3">
        <f>tblSalesForecast[[#This Row],[Units]]*tblSalesForecast[[#This Row],[Avg Price]]</f>
        <v>120404.52</v>
      </c>
    </row>
    <row r="26">
      <c r="A26" t="inlineStr">
        <is>
          <t>West</t>
        </is>
      </c>
      <c r="B26" t="inlineStr">
        <is>
          <t>Services</t>
        </is>
      </c>
      <c r="C26" s="2" t="n">
        <v>46023</v>
      </c>
      <c r="D26" t="n">
        <v>165</v>
      </c>
      <c r="E26" t="n">
        <v>1450</v>
      </c>
      <c r="F26" s="3">
        <f>tblSalesForecast[[#This Row],[Units]]*tblSalesForecast[[#This Row],[Avg Price]]</f>
        <v>239250</v>
      </c>
    </row>
    <row r="27">
      <c r="A27" t="inlineStr">
        <is>
          <t>West</t>
        </is>
      </c>
      <c r="B27" t="inlineStr">
        <is>
          <t>Services</t>
        </is>
      </c>
      <c r="C27" s="2" t="n">
        <v>46054</v>
      </c>
      <c r="D27" t="n">
        <v>174</v>
      </c>
      <c r="E27" t="n">
        <v>1455.8</v>
      </c>
      <c r="F27" s="3">
        <f>tblSalesForecast[[#This Row],[Units]]*tblSalesForecast[[#This Row],[Avg Price]]</f>
        <v>253309.19999999998</v>
      </c>
    </row>
    <row r="28">
      <c r="A28" t="inlineStr">
        <is>
          <t>West</t>
        </is>
      </c>
      <c r="B28" t="inlineStr">
        <is>
          <t>Services</t>
        </is>
      </c>
      <c r="C28" s="2" t="n">
        <v>46082</v>
      </c>
      <c r="D28" t="n">
        <v>157</v>
      </c>
      <c r="E28" t="n">
        <v>1461.6</v>
      </c>
      <c r="F28" s="3">
        <f>tblSalesForecast[[#This Row],[Units]]*tblSalesForecast[[#This Row],[Avg Price]]</f>
        <v>229471.19999999998</v>
      </c>
    </row>
    <row r="29">
      <c r="A29" t="inlineStr">
        <is>
          <t>West</t>
        </is>
      </c>
      <c r="B29" t="inlineStr">
        <is>
          <t>Services</t>
        </is>
      </c>
      <c r="C29" s="2" t="n">
        <v>46113</v>
      </c>
      <c r="D29" t="n">
        <v>183</v>
      </c>
      <c r="E29" t="n">
        <v>1467.4</v>
      </c>
      <c r="F29" s="3">
        <f>tblSalesForecast[[#This Row],[Units]]*tblSalesForecast[[#This Row],[Avg Price]]</f>
        <v>268534.2</v>
      </c>
    </row>
    <row r="30">
      <c r="A30" t="inlineStr">
        <is>
          <t>West</t>
        </is>
      </c>
      <c r="B30" t="inlineStr">
        <is>
          <t>Services</t>
        </is>
      </c>
      <c r="C30" s="2" t="n">
        <v>46143</v>
      </c>
      <c r="D30" t="n">
        <v>176</v>
      </c>
      <c r="E30" t="n">
        <v>1473.2</v>
      </c>
      <c r="F30" s="3">
        <f>tblSalesForecast[[#This Row],[Units]]*tblSalesForecast[[#This Row],[Avg Price]]</f>
        <v>259283.2</v>
      </c>
    </row>
    <row r="31">
      <c r="A31" t="inlineStr">
        <is>
          <t>West</t>
        </is>
      </c>
      <c r="B31" t="inlineStr">
        <is>
          <t>Services</t>
        </is>
      </c>
      <c r="C31" s="2" t="n">
        <v>46174</v>
      </c>
      <c r="D31" t="n">
        <v>167</v>
      </c>
      <c r="E31" t="n">
        <v>1479</v>
      </c>
      <c r="F31" s="3">
        <f>tblSalesForecast[[#This Row],[Units]]*tblSalesForecast[[#This Row],[Avg Price]]</f>
        <v>246993</v>
      </c>
    </row>
    <row r="32">
      <c r="A32" t="inlineStr">
        <is>
          <t>West</t>
        </is>
      </c>
      <c r="B32" t="inlineStr">
        <is>
          <t>Services</t>
        </is>
      </c>
      <c r="C32" s="2" t="n">
        <v>46204</v>
      </c>
      <c r="D32" t="n">
        <v>178</v>
      </c>
      <c r="E32" t="n">
        <v>1484.8</v>
      </c>
      <c r="F32" s="3">
        <f>tblSalesForecast[[#This Row],[Units]]*tblSalesForecast[[#This Row],[Avg Price]]</f>
        <v>264294.39999999997</v>
      </c>
    </row>
    <row r="33">
      <c r="A33" t="inlineStr">
        <is>
          <t>West</t>
        </is>
      </c>
      <c r="B33" t="inlineStr">
        <is>
          <t>Services</t>
        </is>
      </c>
      <c r="C33" s="2" t="n">
        <v>46235</v>
      </c>
      <c r="D33" t="n">
        <v>175</v>
      </c>
      <c r="E33" t="n">
        <v>1490.6</v>
      </c>
      <c r="F33" s="3">
        <f>tblSalesForecast[[#This Row],[Units]]*tblSalesForecast[[#This Row],[Avg Price]]</f>
        <v>260854.99999999997</v>
      </c>
    </row>
    <row r="34">
      <c r="A34" t="inlineStr">
        <is>
          <t>West</t>
        </is>
      </c>
      <c r="B34" t="inlineStr">
        <is>
          <t>Services</t>
        </is>
      </c>
      <c r="C34" s="2" t="n">
        <v>46266</v>
      </c>
      <c r="D34" t="n">
        <v>154</v>
      </c>
      <c r="E34" t="n">
        <v>1496.4</v>
      </c>
      <c r="F34" s="3">
        <f>tblSalesForecast[[#This Row],[Units]]*tblSalesForecast[[#This Row],[Avg Price]]</f>
        <v>230445.6</v>
      </c>
    </row>
    <row r="35">
      <c r="A35" t="inlineStr">
        <is>
          <t>West</t>
        </is>
      </c>
      <c r="B35" t="inlineStr">
        <is>
          <t>Services</t>
        </is>
      </c>
      <c r="C35" s="2" t="n">
        <v>46296</v>
      </c>
      <c r="D35" t="n">
        <v>166</v>
      </c>
      <c r="E35" t="n">
        <v>1502.2</v>
      </c>
      <c r="F35" s="3">
        <f>tblSalesForecast[[#This Row],[Units]]*tblSalesForecast[[#This Row],[Avg Price]]</f>
        <v>249365.2</v>
      </c>
    </row>
    <row r="36">
      <c r="A36" t="inlineStr">
        <is>
          <t>West</t>
        </is>
      </c>
      <c r="B36" t="inlineStr">
        <is>
          <t>Services</t>
        </is>
      </c>
      <c r="C36" s="2" t="n">
        <v>46327</v>
      </c>
      <c r="D36" t="n">
        <v>182</v>
      </c>
      <c r="E36" t="n">
        <v>1508</v>
      </c>
      <c r="F36" s="3">
        <f>tblSalesForecast[[#This Row],[Units]]*tblSalesForecast[[#This Row],[Avg Price]]</f>
        <v>274456</v>
      </c>
    </row>
    <row r="37">
      <c r="A37" t="inlineStr">
        <is>
          <t>West</t>
        </is>
      </c>
      <c r="B37" t="inlineStr">
        <is>
          <t>Services</t>
        </is>
      </c>
      <c r="C37" s="2" t="n">
        <v>46357</v>
      </c>
      <c r="D37" t="n">
        <v>163</v>
      </c>
      <c r="E37" t="n">
        <v>1513.8</v>
      </c>
      <c r="F37" s="3">
        <f>tblSalesForecast[[#This Row],[Units]]*tblSalesForecast[[#This Row],[Avg Price]]</f>
        <v>246749.4</v>
      </c>
    </row>
    <row r="38">
      <c r="A38" t="inlineStr">
        <is>
          <t>Central</t>
        </is>
      </c>
      <c r="B38" t="inlineStr">
        <is>
          <t>Hardware</t>
        </is>
      </c>
      <c r="C38" s="2" t="n">
        <v>46023</v>
      </c>
      <c r="D38" t="n">
        <v>391</v>
      </c>
      <c r="E38" t="n">
        <v>310</v>
      </c>
      <c r="F38" s="3">
        <f>tblSalesForecast[[#This Row],[Units]]*tblSalesForecast[[#This Row],[Avg Price]]</f>
        <v>121210</v>
      </c>
    </row>
    <row r="39">
      <c r="A39" t="inlineStr">
        <is>
          <t>Central</t>
        </is>
      </c>
      <c r="B39" t="inlineStr">
        <is>
          <t>Hardware</t>
        </is>
      </c>
      <c r="C39" s="2" t="n">
        <v>46054</v>
      </c>
      <c r="D39" t="n">
        <v>394</v>
      </c>
      <c r="E39" t="n">
        <v>311.24</v>
      </c>
      <c r="F39" s="3">
        <f>tblSalesForecast[[#This Row],[Units]]*tblSalesForecast[[#This Row],[Avg Price]]</f>
        <v>122628.56</v>
      </c>
    </row>
    <row r="40">
      <c r="A40" t="inlineStr">
        <is>
          <t>Central</t>
        </is>
      </c>
      <c r="B40" t="inlineStr">
        <is>
          <t>Hardware</t>
        </is>
      </c>
      <c r="C40" s="2" t="n">
        <v>46082</v>
      </c>
      <c r="D40" t="n">
        <v>401</v>
      </c>
      <c r="E40" t="n">
        <v>312.48</v>
      </c>
      <c r="F40" s="3">
        <f>tblSalesForecast[[#This Row],[Units]]*tblSalesForecast[[#This Row],[Avg Price]]</f>
        <v>125304.48000000001</v>
      </c>
    </row>
    <row r="41">
      <c r="A41" t="inlineStr">
        <is>
          <t>Central</t>
        </is>
      </c>
      <c r="B41" t="inlineStr">
        <is>
          <t>Hardware</t>
        </is>
      </c>
      <c r="C41" s="2" t="n">
        <v>46113</v>
      </c>
      <c r="D41" t="n">
        <v>412</v>
      </c>
      <c r="E41" t="n">
        <v>313.72</v>
      </c>
      <c r="F41" s="3">
        <f>tblSalesForecast[[#This Row],[Units]]*tblSalesForecast[[#This Row],[Avg Price]]</f>
        <v>129252.64000000001</v>
      </c>
    </row>
    <row r="42">
      <c r="A42" t="inlineStr">
        <is>
          <t>Central</t>
        </is>
      </c>
      <c r="B42" t="inlineStr">
        <is>
          <t>Hardware</t>
        </is>
      </c>
      <c r="C42" s="2" t="n">
        <v>46143</v>
      </c>
      <c r="D42" t="n">
        <v>413</v>
      </c>
      <c r="E42" t="n">
        <v>314.96</v>
      </c>
      <c r="F42" s="3">
        <f>tblSalesForecast[[#This Row],[Units]]*tblSalesForecast[[#This Row],[Avg Price]]</f>
        <v>130078.48</v>
      </c>
    </row>
    <row r="43">
      <c r="A43" t="inlineStr">
        <is>
          <t>Central</t>
        </is>
      </c>
      <c r="B43" t="inlineStr">
        <is>
          <t>Hardware</t>
        </is>
      </c>
      <c r="C43" s="2" t="n">
        <v>46174</v>
      </c>
      <c r="D43" t="n">
        <v>427</v>
      </c>
      <c r="E43" t="n">
        <v>316.2</v>
      </c>
      <c r="F43" s="3">
        <f>tblSalesForecast[[#This Row],[Units]]*tblSalesForecast[[#This Row],[Avg Price]]</f>
        <v>135017.4</v>
      </c>
    </row>
    <row r="44">
      <c r="A44" t="inlineStr">
        <is>
          <t>Central</t>
        </is>
      </c>
      <c r="B44" t="inlineStr">
        <is>
          <t>Hardware</t>
        </is>
      </c>
      <c r="C44" s="2" t="n">
        <v>46204</v>
      </c>
      <c r="D44" t="n">
        <v>413</v>
      </c>
      <c r="E44" t="n">
        <v>317.44</v>
      </c>
      <c r="F44" s="3">
        <f>tblSalesForecast[[#This Row],[Units]]*tblSalesForecast[[#This Row],[Avg Price]]</f>
        <v>131102.72</v>
      </c>
    </row>
    <row r="45">
      <c r="A45" t="inlineStr">
        <is>
          <t>Central</t>
        </is>
      </c>
      <c r="B45" t="inlineStr">
        <is>
          <t>Hardware</t>
        </is>
      </c>
      <c r="C45" s="2" t="n">
        <v>46235</v>
      </c>
      <c r="D45" t="n">
        <v>385</v>
      </c>
      <c r="E45" t="n">
        <v>318.68</v>
      </c>
      <c r="F45" s="3">
        <f>tblSalesForecast[[#This Row],[Units]]*tblSalesForecast[[#This Row],[Avg Price]]</f>
        <v>122691.8</v>
      </c>
    </row>
    <row r="46">
      <c r="A46" t="inlineStr">
        <is>
          <t>Central</t>
        </is>
      </c>
      <c r="B46" t="inlineStr">
        <is>
          <t>Hardware</t>
        </is>
      </c>
      <c r="C46" s="2" t="n">
        <v>46266</v>
      </c>
      <c r="D46" t="n">
        <v>409</v>
      </c>
      <c r="E46" t="n">
        <v>319.92</v>
      </c>
      <c r="F46" s="3">
        <f>tblSalesForecast[[#This Row],[Units]]*tblSalesForecast[[#This Row],[Avg Price]]</f>
        <v>130847.28000000001</v>
      </c>
    </row>
    <row r="47">
      <c r="A47" t="inlineStr">
        <is>
          <t>Central</t>
        </is>
      </c>
      <c r="B47" t="inlineStr">
        <is>
          <t>Hardware</t>
        </is>
      </c>
      <c r="C47" s="2" t="n">
        <v>46296</v>
      </c>
      <c r="D47" t="n">
        <v>408</v>
      </c>
      <c r="E47" t="n">
        <v>321.16</v>
      </c>
      <c r="F47" s="3">
        <f>tblSalesForecast[[#This Row],[Units]]*tblSalesForecast[[#This Row],[Avg Price]]</f>
        <v>131033.28000000001</v>
      </c>
    </row>
    <row r="48">
      <c r="A48" t="inlineStr">
        <is>
          <t>Central</t>
        </is>
      </c>
      <c r="B48" t="inlineStr">
        <is>
          <t>Hardware</t>
        </is>
      </c>
      <c r="C48" s="2" t="n">
        <v>46327</v>
      </c>
      <c r="D48" t="n">
        <v>402</v>
      </c>
      <c r="E48" t="n">
        <v>322.4</v>
      </c>
      <c r="F48" s="3">
        <f>tblSalesForecast[[#This Row],[Units]]*tblSalesForecast[[#This Row],[Avg Price]]</f>
        <v>129604.79999999999</v>
      </c>
    </row>
    <row r="49">
      <c r="A49" t="inlineStr">
        <is>
          <t>Central</t>
        </is>
      </c>
      <c r="B49" t="inlineStr">
        <is>
          <t>Hardware</t>
        </is>
      </c>
      <c r="C49" s="2" t="n">
        <v>46357</v>
      </c>
      <c r="D49" t="n">
        <v>430</v>
      </c>
      <c r="E49" t="n">
        <v>323.64</v>
      </c>
      <c r="F49" s="3">
        <f>tblSalesForecast[[#This Row],[Units]]*tblSalesForecast[[#This Row],[Avg Price]]</f>
        <v>139165.19999999998</v>
      </c>
    </row>
    <row r="50">
      <c r="A50" t="inlineStr">
        <is>
          <t>Central</t>
        </is>
      </c>
      <c r="B50" t="inlineStr">
        <is>
          <t>Software</t>
        </is>
      </c>
      <c r="C50" s="2" t="n">
        <v>46023</v>
      </c>
      <c r="D50" t="n">
        <v>801</v>
      </c>
      <c r="E50" t="n">
        <v>95</v>
      </c>
      <c r="F50" s="3">
        <f>tblSalesForecast[[#This Row],[Units]]*tblSalesForecast[[#This Row],[Avg Price]]</f>
        <v>76095</v>
      </c>
    </row>
    <row r="51">
      <c r="A51" t="inlineStr">
        <is>
          <t>Central</t>
        </is>
      </c>
      <c r="B51" t="inlineStr">
        <is>
          <t>Software</t>
        </is>
      </c>
      <c r="C51" s="2" t="n">
        <v>46054</v>
      </c>
      <c r="D51" t="n">
        <v>853</v>
      </c>
      <c r="E51" t="n">
        <v>95.38</v>
      </c>
      <c r="F51" s="3">
        <f>tblSalesForecast[[#This Row],[Units]]*tblSalesForecast[[#This Row],[Avg Price]]</f>
        <v>81359.14</v>
      </c>
    </row>
    <row r="52">
      <c r="A52" t="inlineStr">
        <is>
          <t>Central</t>
        </is>
      </c>
      <c r="B52" t="inlineStr">
        <is>
          <t>Software</t>
        </is>
      </c>
      <c r="C52" s="2" t="n">
        <v>46082</v>
      </c>
      <c r="D52" t="n">
        <v>900</v>
      </c>
      <c r="E52" t="n">
        <v>95.76000000000001</v>
      </c>
      <c r="F52" s="3">
        <f>tblSalesForecast[[#This Row],[Units]]*tblSalesForecast[[#This Row],[Avg Price]]</f>
        <v>86184</v>
      </c>
    </row>
    <row r="53">
      <c r="A53" t="inlineStr">
        <is>
          <t>Central</t>
        </is>
      </c>
      <c r="B53" t="inlineStr">
        <is>
          <t>Software</t>
        </is>
      </c>
      <c r="C53" s="2" t="n">
        <v>46113</v>
      </c>
      <c r="D53" t="n">
        <v>899</v>
      </c>
      <c r="E53" t="n">
        <v>96.14</v>
      </c>
      <c r="F53" s="3">
        <f>tblSalesForecast[[#This Row],[Units]]*tblSalesForecast[[#This Row],[Avg Price]]</f>
        <v>86429.86</v>
      </c>
    </row>
    <row r="54">
      <c r="A54" t="inlineStr">
        <is>
          <t>Central</t>
        </is>
      </c>
      <c r="B54" t="inlineStr">
        <is>
          <t>Software</t>
        </is>
      </c>
      <c r="C54" s="2" t="n">
        <v>46143</v>
      </c>
      <c r="D54" t="n">
        <v>919</v>
      </c>
      <c r="E54" t="n">
        <v>96.52</v>
      </c>
      <c r="F54" s="3">
        <f>tblSalesForecast[[#This Row],[Units]]*tblSalesForecast[[#This Row],[Avg Price]]</f>
        <v>88701.87999999999</v>
      </c>
    </row>
    <row r="55">
      <c r="A55" t="inlineStr">
        <is>
          <t>Central</t>
        </is>
      </c>
      <c r="B55" t="inlineStr">
        <is>
          <t>Software</t>
        </is>
      </c>
      <c r="C55" s="2" t="n">
        <v>46174</v>
      </c>
      <c r="D55" t="n">
        <v>897</v>
      </c>
      <c r="E55" t="n">
        <v>96.90000000000001</v>
      </c>
      <c r="F55" s="3">
        <f>tblSalesForecast[[#This Row],[Units]]*tblSalesForecast[[#This Row],[Avg Price]]</f>
        <v>86919.3</v>
      </c>
    </row>
    <row r="56">
      <c r="A56" t="inlineStr">
        <is>
          <t>Central</t>
        </is>
      </c>
      <c r="B56" t="inlineStr">
        <is>
          <t>Software</t>
        </is>
      </c>
      <c r="C56" s="2" t="n">
        <v>46204</v>
      </c>
      <c r="D56" t="n">
        <v>891</v>
      </c>
      <c r="E56" t="n">
        <v>97.28</v>
      </c>
      <c r="F56" s="3">
        <f>tblSalesForecast[[#This Row],[Units]]*tblSalesForecast[[#This Row],[Avg Price]]</f>
        <v>86676.48</v>
      </c>
    </row>
    <row r="57">
      <c r="A57" t="inlineStr">
        <is>
          <t>Central</t>
        </is>
      </c>
      <c r="B57" t="inlineStr">
        <is>
          <t>Software</t>
        </is>
      </c>
      <c r="C57" s="2" t="n">
        <v>46235</v>
      </c>
      <c r="D57" t="n">
        <v>857</v>
      </c>
      <c r="E57" t="n">
        <v>97.66</v>
      </c>
      <c r="F57" s="3">
        <f>tblSalesForecast[[#This Row],[Units]]*tblSalesForecast[[#This Row],[Avg Price]]</f>
        <v>83694.62</v>
      </c>
    </row>
    <row r="58">
      <c r="A58" t="inlineStr">
        <is>
          <t>Central</t>
        </is>
      </c>
      <c r="B58" t="inlineStr">
        <is>
          <t>Software</t>
        </is>
      </c>
      <c r="C58" s="2" t="n">
        <v>46266</v>
      </c>
      <c r="D58" t="n">
        <v>859</v>
      </c>
      <c r="E58" t="n">
        <v>98.04000000000001</v>
      </c>
      <c r="F58" s="3">
        <f>tblSalesForecast[[#This Row],[Units]]*tblSalesForecast[[#This Row],[Avg Price]]</f>
        <v>84216.36</v>
      </c>
    </row>
    <row r="59">
      <c r="A59" t="inlineStr">
        <is>
          <t>Central</t>
        </is>
      </c>
      <c r="B59" t="inlineStr">
        <is>
          <t>Software</t>
        </is>
      </c>
      <c r="C59" s="2" t="n">
        <v>46296</v>
      </c>
      <c r="D59" t="n">
        <v>846</v>
      </c>
      <c r="E59" t="n">
        <v>98.42</v>
      </c>
      <c r="F59" s="3">
        <f>tblSalesForecast[[#This Row],[Units]]*tblSalesForecast[[#This Row],[Avg Price]]</f>
        <v>83263.32</v>
      </c>
    </row>
    <row r="60">
      <c r="A60" t="inlineStr">
        <is>
          <t>Central</t>
        </is>
      </c>
      <c r="B60" t="inlineStr">
        <is>
          <t>Software</t>
        </is>
      </c>
      <c r="C60" s="2" t="n">
        <v>46327</v>
      </c>
      <c r="D60" t="n">
        <v>870</v>
      </c>
      <c r="E60" t="n">
        <v>98.8</v>
      </c>
      <c r="F60" s="3">
        <f>tblSalesForecast[[#This Row],[Units]]*tblSalesForecast[[#This Row],[Avg Price]]</f>
        <v>85956</v>
      </c>
    </row>
    <row r="61">
      <c r="A61" t="inlineStr">
        <is>
          <t>Central</t>
        </is>
      </c>
      <c r="B61" t="inlineStr">
        <is>
          <t>Software</t>
        </is>
      </c>
      <c r="C61" s="2" t="n">
        <v>46357</v>
      </c>
      <c r="D61" t="n">
        <v>900</v>
      </c>
      <c r="E61" t="n">
        <v>99.18000000000001</v>
      </c>
      <c r="F61" s="3">
        <f>tblSalesForecast[[#This Row],[Units]]*tblSalesForecast[[#This Row],[Avg Price]]</f>
        <v>89262</v>
      </c>
    </row>
    <row r="62">
      <c r="A62" t="inlineStr">
        <is>
          <t>Central</t>
        </is>
      </c>
      <c r="B62" t="inlineStr">
        <is>
          <t>Services</t>
        </is>
      </c>
      <c r="C62" s="2" t="n">
        <v>46023</v>
      </c>
      <c r="D62" t="n">
        <v>113</v>
      </c>
      <c r="E62" t="n">
        <v>1450</v>
      </c>
      <c r="F62" s="3">
        <f>tblSalesForecast[[#This Row],[Units]]*tblSalesForecast[[#This Row],[Avg Price]]</f>
        <v>163850</v>
      </c>
    </row>
    <row r="63">
      <c r="A63" t="inlineStr">
        <is>
          <t>Central</t>
        </is>
      </c>
      <c r="B63" t="inlineStr">
        <is>
          <t>Services</t>
        </is>
      </c>
      <c r="C63" s="2" t="n">
        <v>46054</v>
      </c>
      <c r="D63" t="n">
        <v>116</v>
      </c>
      <c r="E63" t="n">
        <v>1455.8</v>
      </c>
      <c r="F63" s="3">
        <f>tblSalesForecast[[#This Row],[Units]]*tblSalesForecast[[#This Row],[Avg Price]]</f>
        <v>168872.8</v>
      </c>
    </row>
    <row r="64">
      <c r="A64" t="inlineStr">
        <is>
          <t>Central</t>
        </is>
      </c>
      <c r="B64" t="inlineStr">
        <is>
          <t>Services</t>
        </is>
      </c>
      <c r="C64" s="2" t="n">
        <v>46082</v>
      </c>
      <c r="D64" t="n">
        <v>135</v>
      </c>
      <c r="E64" t="n">
        <v>1461.6</v>
      </c>
      <c r="F64" s="3">
        <f>tblSalesForecast[[#This Row],[Units]]*tblSalesForecast[[#This Row],[Avg Price]]</f>
        <v>197316</v>
      </c>
    </row>
    <row r="65">
      <c r="A65" t="inlineStr">
        <is>
          <t>Central</t>
        </is>
      </c>
      <c r="B65" t="inlineStr">
        <is>
          <t>Services</t>
        </is>
      </c>
      <c r="C65" s="2" t="n">
        <v>46113</v>
      </c>
      <c r="D65" t="n">
        <v>124</v>
      </c>
      <c r="E65" t="n">
        <v>1467.4</v>
      </c>
      <c r="F65" s="3">
        <f>tblSalesForecast[[#This Row],[Units]]*tblSalesForecast[[#This Row],[Avg Price]]</f>
        <v>181957.6</v>
      </c>
    </row>
    <row r="66">
      <c r="A66" t="inlineStr">
        <is>
          <t>Central</t>
        </is>
      </c>
      <c r="B66" t="inlineStr">
        <is>
          <t>Services</t>
        </is>
      </c>
      <c r="C66" s="2" t="n">
        <v>46143</v>
      </c>
      <c r="D66" t="n">
        <v>142</v>
      </c>
      <c r="E66" t="n">
        <v>1473.2</v>
      </c>
      <c r="F66" s="3">
        <f>tblSalesForecast[[#This Row],[Units]]*tblSalesForecast[[#This Row],[Avg Price]]</f>
        <v>209194.4</v>
      </c>
    </row>
    <row r="67">
      <c r="A67" t="inlineStr">
        <is>
          <t>Central</t>
        </is>
      </c>
      <c r="B67" t="inlineStr">
        <is>
          <t>Services</t>
        </is>
      </c>
      <c r="C67" s="2" t="n">
        <v>46174</v>
      </c>
      <c r="D67" t="n">
        <v>130</v>
      </c>
      <c r="E67" t="n">
        <v>1479</v>
      </c>
      <c r="F67" s="3">
        <f>tblSalesForecast[[#This Row],[Units]]*tblSalesForecast[[#This Row],[Avg Price]]</f>
        <v>192270</v>
      </c>
    </row>
    <row r="68">
      <c r="A68" t="inlineStr">
        <is>
          <t>Central</t>
        </is>
      </c>
      <c r="B68" t="inlineStr">
        <is>
          <t>Services</t>
        </is>
      </c>
      <c r="C68" s="2" t="n">
        <v>46204</v>
      </c>
      <c r="D68" t="n">
        <v>142</v>
      </c>
      <c r="E68" t="n">
        <v>1484.8</v>
      </c>
      <c r="F68" s="3">
        <f>tblSalesForecast[[#This Row],[Units]]*tblSalesForecast[[#This Row],[Avg Price]]</f>
        <v>210841.6</v>
      </c>
    </row>
    <row r="69">
      <c r="A69" t="inlineStr">
        <is>
          <t>Central</t>
        </is>
      </c>
      <c r="B69" t="inlineStr">
        <is>
          <t>Services</t>
        </is>
      </c>
      <c r="C69" s="2" t="n">
        <v>46235</v>
      </c>
      <c r="D69" t="n">
        <v>118</v>
      </c>
      <c r="E69" t="n">
        <v>1490.6</v>
      </c>
      <c r="F69" s="3">
        <f>tblSalesForecast[[#This Row],[Units]]*tblSalesForecast[[#This Row],[Avg Price]]</f>
        <v>175890.8</v>
      </c>
    </row>
    <row r="70">
      <c r="A70" t="inlineStr">
        <is>
          <t>Central</t>
        </is>
      </c>
      <c r="B70" t="inlineStr">
        <is>
          <t>Services</t>
        </is>
      </c>
      <c r="C70" s="2" t="n">
        <v>46266</v>
      </c>
      <c r="D70" t="n">
        <v>136</v>
      </c>
      <c r="E70" t="n">
        <v>1496.4</v>
      </c>
      <c r="F70" s="3">
        <f>tblSalesForecast[[#This Row],[Units]]*tblSalesForecast[[#This Row],[Avg Price]]</f>
        <v>203510.40000000002</v>
      </c>
    </row>
    <row r="71">
      <c r="A71" t="inlineStr">
        <is>
          <t>Central</t>
        </is>
      </c>
      <c r="B71" t="inlineStr">
        <is>
          <t>Services</t>
        </is>
      </c>
      <c r="C71" s="2" t="n">
        <v>46296</v>
      </c>
      <c r="D71" t="n">
        <v>107</v>
      </c>
      <c r="E71" t="n">
        <v>1502.2</v>
      </c>
      <c r="F71" s="3">
        <f>tblSalesForecast[[#This Row],[Units]]*tblSalesForecast[[#This Row],[Avg Price]]</f>
        <v>160735.4</v>
      </c>
    </row>
    <row r="72">
      <c r="A72" t="inlineStr">
        <is>
          <t>Central</t>
        </is>
      </c>
      <c r="B72" t="inlineStr">
        <is>
          <t>Services</t>
        </is>
      </c>
      <c r="C72" s="2" t="n">
        <v>46327</v>
      </c>
      <c r="D72" t="n">
        <v>123</v>
      </c>
      <c r="E72" t="n">
        <v>1508</v>
      </c>
      <c r="F72" s="3">
        <f>tblSalesForecast[[#This Row],[Units]]*tblSalesForecast[[#This Row],[Avg Price]]</f>
        <v>185484</v>
      </c>
    </row>
    <row r="73">
      <c r="A73" t="inlineStr">
        <is>
          <t>Central</t>
        </is>
      </c>
      <c r="B73" t="inlineStr">
        <is>
          <t>Services</t>
        </is>
      </c>
      <c r="C73" s="2" t="n">
        <v>46357</v>
      </c>
      <c r="D73" t="n">
        <v>142</v>
      </c>
      <c r="E73" t="n">
        <v>1513.8</v>
      </c>
      <c r="F73" s="3">
        <f>tblSalesForecast[[#This Row],[Units]]*tblSalesForecast[[#This Row],[Avg Price]]</f>
        <v>214959.6</v>
      </c>
    </row>
    <row r="74">
      <c r="A74" t="inlineStr">
        <is>
          <t>East</t>
        </is>
      </c>
      <c r="B74" t="inlineStr">
        <is>
          <t>Hardware</t>
        </is>
      </c>
      <c r="C74" s="2" t="n">
        <v>46023</v>
      </c>
      <c r="D74" t="n">
        <v>476</v>
      </c>
      <c r="E74" t="n">
        <v>310</v>
      </c>
      <c r="F74" s="3">
        <f>tblSalesForecast[[#This Row],[Units]]*tblSalesForecast[[#This Row],[Avg Price]]</f>
        <v>147560</v>
      </c>
    </row>
    <row r="75">
      <c r="A75" t="inlineStr">
        <is>
          <t>East</t>
        </is>
      </c>
      <c r="B75" t="inlineStr">
        <is>
          <t>Hardware</t>
        </is>
      </c>
      <c r="C75" s="2" t="n">
        <v>46054</v>
      </c>
      <c r="D75" t="n">
        <v>490</v>
      </c>
      <c r="E75" t="n">
        <v>311.24</v>
      </c>
      <c r="F75" s="3">
        <f>tblSalesForecast[[#This Row],[Units]]*tblSalesForecast[[#This Row],[Avg Price]]</f>
        <v>152507.6</v>
      </c>
    </row>
    <row r="76">
      <c r="A76" t="inlineStr">
        <is>
          <t>East</t>
        </is>
      </c>
      <c r="B76" t="inlineStr">
        <is>
          <t>Hardware</t>
        </is>
      </c>
      <c r="C76" s="2" t="n">
        <v>46082</v>
      </c>
      <c r="D76" t="n">
        <v>523</v>
      </c>
      <c r="E76" t="n">
        <v>312.48</v>
      </c>
      <c r="F76" s="3">
        <f>tblSalesForecast[[#This Row],[Units]]*tblSalesForecast[[#This Row],[Avg Price]]</f>
        <v>163427.04</v>
      </c>
    </row>
    <row r="77">
      <c r="A77" t="inlineStr">
        <is>
          <t>East</t>
        </is>
      </c>
      <c r="B77" t="inlineStr">
        <is>
          <t>Hardware</t>
        </is>
      </c>
      <c r="C77" s="2" t="n">
        <v>46113</v>
      </c>
      <c r="D77" t="n">
        <v>526</v>
      </c>
      <c r="E77" t="n">
        <v>313.72</v>
      </c>
      <c r="F77" s="3">
        <f>tblSalesForecast[[#This Row],[Units]]*tblSalesForecast[[#This Row],[Avg Price]]</f>
        <v>165016.72</v>
      </c>
    </row>
    <row r="78">
      <c r="A78" t="inlineStr">
        <is>
          <t>East</t>
        </is>
      </c>
      <c r="B78" t="inlineStr">
        <is>
          <t>Hardware</t>
        </is>
      </c>
      <c r="C78" s="2" t="n">
        <v>46143</v>
      </c>
      <c r="D78" t="n">
        <v>511</v>
      </c>
      <c r="E78" t="n">
        <v>314.96</v>
      </c>
      <c r="F78" s="3">
        <f>tblSalesForecast[[#This Row],[Units]]*tblSalesForecast[[#This Row],[Avg Price]]</f>
        <v>160944.56</v>
      </c>
    </row>
    <row r="79">
      <c r="A79" t="inlineStr">
        <is>
          <t>East</t>
        </is>
      </c>
      <c r="B79" t="inlineStr">
        <is>
          <t>Hardware</t>
        </is>
      </c>
      <c r="C79" s="2" t="n">
        <v>46174</v>
      </c>
      <c r="D79" t="n">
        <v>506</v>
      </c>
      <c r="E79" t="n">
        <v>316.2</v>
      </c>
      <c r="F79" s="3">
        <f>tblSalesForecast[[#This Row],[Units]]*tblSalesForecast[[#This Row],[Avg Price]]</f>
        <v>159997.19999999998</v>
      </c>
    </row>
    <row r="80">
      <c r="A80" t="inlineStr">
        <is>
          <t>East</t>
        </is>
      </c>
      <c r="B80" t="inlineStr">
        <is>
          <t>Hardware</t>
        </is>
      </c>
      <c r="C80" s="2" t="n">
        <v>46204</v>
      </c>
      <c r="D80" t="n">
        <v>508</v>
      </c>
      <c r="E80" t="n">
        <v>317.44</v>
      </c>
      <c r="F80" s="3">
        <f>tblSalesForecast[[#This Row],[Units]]*tblSalesForecast[[#This Row],[Avg Price]]</f>
        <v>161259.52</v>
      </c>
    </row>
    <row r="81">
      <c r="A81" t="inlineStr">
        <is>
          <t>East</t>
        </is>
      </c>
      <c r="B81" t="inlineStr">
        <is>
          <t>Hardware</t>
        </is>
      </c>
      <c r="C81" s="2" t="n">
        <v>46235</v>
      </c>
      <c r="D81" t="n">
        <v>497</v>
      </c>
      <c r="E81" t="n">
        <v>318.68</v>
      </c>
      <c r="F81" s="3">
        <f>tblSalesForecast[[#This Row],[Units]]*tblSalesForecast[[#This Row],[Avg Price]]</f>
        <v>158383.96</v>
      </c>
    </row>
    <row r="82">
      <c r="A82" t="inlineStr">
        <is>
          <t>East</t>
        </is>
      </c>
      <c r="B82" t="inlineStr">
        <is>
          <t>Hardware</t>
        </is>
      </c>
      <c r="C82" s="2" t="n">
        <v>46266</v>
      </c>
      <c r="D82" t="n">
        <v>493</v>
      </c>
      <c r="E82" t="n">
        <v>319.92</v>
      </c>
      <c r="F82" s="3">
        <f>tblSalesForecast[[#This Row],[Units]]*tblSalesForecast[[#This Row],[Avg Price]]</f>
        <v>157720.56</v>
      </c>
    </row>
    <row r="83">
      <c r="A83" t="inlineStr">
        <is>
          <t>East</t>
        </is>
      </c>
      <c r="B83" t="inlineStr">
        <is>
          <t>Hardware</t>
        </is>
      </c>
      <c r="C83" s="2" t="n">
        <v>46296</v>
      </c>
      <c r="D83" t="n">
        <v>476</v>
      </c>
      <c r="E83" t="n">
        <v>321.16</v>
      </c>
      <c r="F83" s="3">
        <f>tblSalesForecast[[#This Row],[Units]]*tblSalesForecast[[#This Row],[Avg Price]]</f>
        <v>152872.16</v>
      </c>
    </row>
    <row r="84">
      <c r="A84" t="inlineStr">
        <is>
          <t>East</t>
        </is>
      </c>
      <c r="B84" t="inlineStr">
        <is>
          <t>Hardware</t>
        </is>
      </c>
      <c r="C84" s="2" t="n">
        <v>46327</v>
      </c>
      <c r="D84" t="n">
        <v>483</v>
      </c>
      <c r="E84" t="n">
        <v>322.4</v>
      </c>
      <c r="F84" s="3">
        <f>tblSalesForecast[[#This Row],[Units]]*tblSalesForecast[[#This Row],[Avg Price]]</f>
        <v>155719.19999999998</v>
      </c>
    </row>
    <row r="85">
      <c r="A85" t="inlineStr">
        <is>
          <t>East</t>
        </is>
      </c>
      <c r="B85" t="inlineStr">
        <is>
          <t>Hardware</t>
        </is>
      </c>
      <c r="C85" s="2" t="n">
        <v>46357</v>
      </c>
      <c r="D85" t="n">
        <v>526</v>
      </c>
      <c r="E85" t="n">
        <v>323.64</v>
      </c>
      <c r="F85" s="3">
        <f>tblSalesForecast[[#This Row],[Units]]*tblSalesForecast[[#This Row],[Avg Price]]</f>
        <v>170234.63999999998</v>
      </c>
    </row>
    <row r="86">
      <c r="A86" t="inlineStr">
        <is>
          <t>East</t>
        </is>
      </c>
      <c r="B86" t="inlineStr">
        <is>
          <t>Software</t>
        </is>
      </c>
      <c r="C86" s="2" t="n">
        <v>46023</v>
      </c>
      <c r="D86" t="n">
        <v>985</v>
      </c>
      <c r="E86" t="n">
        <v>95</v>
      </c>
      <c r="F86" s="3">
        <f>tblSalesForecast[[#This Row],[Units]]*tblSalesForecast[[#This Row],[Avg Price]]</f>
        <v>93575</v>
      </c>
    </row>
    <row r="87">
      <c r="A87" t="inlineStr">
        <is>
          <t>East</t>
        </is>
      </c>
      <c r="B87" t="inlineStr">
        <is>
          <t>Software</t>
        </is>
      </c>
      <c r="C87" s="2" t="n">
        <v>46054</v>
      </c>
      <c r="D87" t="n">
        <v>1058</v>
      </c>
      <c r="E87" t="n">
        <v>95.38</v>
      </c>
      <c r="F87" s="3">
        <f>tblSalesForecast[[#This Row],[Units]]*tblSalesForecast[[#This Row],[Avg Price]]</f>
        <v>100912.04</v>
      </c>
    </row>
    <row r="88">
      <c r="A88" t="inlineStr">
        <is>
          <t>East</t>
        </is>
      </c>
      <c r="B88" t="inlineStr">
        <is>
          <t>Software</t>
        </is>
      </c>
      <c r="C88" s="2" t="n">
        <v>46082</v>
      </c>
      <c r="D88" t="n">
        <v>1099</v>
      </c>
      <c r="E88" t="n">
        <v>95.76000000000001</v>
      </c>
      <c r="F88" s="3">
        <f>tblSalesForecast[[#This Row],[Units]]*tblSalesForecast[[#This Row],[Avg Price]]</f>
        <v>105240.24</v>
      </c>
    </row>
    <row r="89">
      <c r="A89" t="inlineStr">
        <is>
          <t>East</t>
        </is>
      </c>
      <c r="B89" t="inlineStr">
        <is>
          <t>Software</t>
        </is>
      </c>
      <c r="C89" s="2" t="n">
        <v>46113</v>
      </c>
      <c r="D89" t="n">
        <v>1124</v>
      </c>
      <c r="E89" t="n">
        <v>96.14</v>
      </c>
      <c r="F89" s="3">
        <f>tblSalesForecast[[#This Row],[Units]]*tblSalesForecast[[#This Row],[Avg Price]]</f>
        <v>108061.36</v>
      </c>
    </row>
    <row r="90">
      <c r="A90" t="inlineStr">
        <is>
          <t>East</t>
        </is>
      </c>
      <c r="B90" t="inlineStr">
        <is>
          <t>Software</t>
        </is>
      </c>
      <c r="C90" s="2" t="n">
        <v>46143</v>
      </c>
      <c r="D90" t="n">
        <v>1123</v>
      </c>
      <c r="E90" t="n">
        <v>96.52</v>
      </c>
      <c r="F90" s="3">
        <f>tblSalesForecast[[#This Row],[Units]]*tblSalesForecast[[#This Row],[Avg Price]]</f>
        <v>108391.95999999999</v>
      </c>
    </row>
    <row r="91">
      <c r="A91" t="inlineStr">
        <is>
          <t>East</t>
        </is>
      </c>
      <c r="B91" t="inlineStr">
        <is>
          <t>Software</t>
        </is>
      </c>
      <c r="C91" s="2" t="n">
        <v>46174</v>
      </c>
      <c r="D91" t="n">
        <v>1120</v>
      </c>
      <c r="E91" t="n">
        <v>96.90000000000001</v>
      </c>
      <c r="F91" s="3">
        <f>tblSalesForecast[[#This Row],[Units]]*tblSalesForecast[[#This Row],[Avg Price]]</f>
        <v>108528</v>
      </c>
    </row>
    <row r="92">
      <c r="A92" t="inlineStr">
        <is>
          <t>East</t>
        </is>
      </c>
      <c r="B92" t="inlineStr">
        <is>
          <t>Software</t>
        </is>
      </c>
      <c r="C92" s="2" t="n">
        <v>46204</v>
      </c>
      <c r="D92" t="n">
        <v>1093</v>
      </c>
      <c r="E92" t="n">
        <v>97.28</v>
      </c>
      <c r="F92" s="3">
        <f>tblSalesForecast[[#This Row],[Units]]*tblSalesForecast[[#This Row],[Avg Price]]</f>
        <v>106327.04000000001</v>
      </c>
    </row>
    <row r="93">
      <c r="A93" t="inlineStr">
        <is>
          <t>East</t>
        </is>
      </c>
      <c r="B93" t="inlineStr">
        <is>
          <t>Software</t>
        </is>
      </c>
      <c r="C93" s="2" t="n">
        <v>46235</v>
      </c>
      <c r="D93" t="n">
        <v>1047</v>
      </c>
      <c r="E93" t="n">
        <v>97.66</v>
      </c>
      <c r="F93" s="3">
        <f>tblSalesForecast[[#This Row],[Units]]*tblSalesForecast[[#This Row],[Avg Price]]</f>
        <v>102250.01999999999</v>
      </c>
    </row>
    <row r="94">
      <c r="A94" t="inlineStr">
        <is>
          <t>East</t>
        </is>
      </c>
      <c r="B94" t="inlineStr">
        <is>
          <t>Software</t>
        </is>
      </c>
      <c r="C94" s="2" t="n">
        <v>46266</v>
      </c>
      <c r="D94" t="n">
        <v>1032</v>
      </c>
      <c r="E94" t="n">
        <v>98.04000000000001</v>
      </c>
      <c r="F94" s="3">
        <f>tblSalesForecast[[#This Row],[Units]]*tblSalesForecast[[#This Row],[Avg Price]]</f>
        <v>101177.28000000001</v>
      </c>
    </row>
    <row r="95">
      <c r="A95" t="inlineStr">
        <is>
          <t>East</t>
        </is>
      </c>
      <c r="B95" t="inlineStr">
        <is>
          <t>Software</t>
        </is>
      </c>
      <c r="C95" s="2" t="n">
        <v>46296</v>
      </c>
      <c r="D95" t="n">
        <v>1045</v>
      </c>
      <c r="E95" t="n">
        <v>98.42</v>
      </c>
      <c r="F95" s="3">
        <f>tblSalesForecast[[#This Row],[Units]]*tblSalesForecast[[#This Row],[Avg Price]]</f>
        <v>102848.90000000001</v>
      </c>
    </row>
    <row r="96">
      <c r="A96" t="inlineStr">
        <is>
          <t>East</t>
        </is>
      </c>
      <c r="B96" t="inlineStr">
        <is>
          <t>Software</t>
        </is>
      </c>
      <c r="C96" s="2" t="n">
        <v>46327</v>
      </c>
      <c r="D96" t="n">
        <v>1075</v>
      </c>
      <c r="E96" t="n">
        <v>98.8</v>
      </c>
      <c r="F96" s="3">
        <f>tblSalesForecast[[#This Row],[Units]]*tblSalesForecast[[#This Row],[Avg Price]]</f>
        <v>106210</v>
      </c>
    </row>
    <row r="97">
      <c r="A97" t="inlineStr">
        <is>
          <t>East</t>
        </is>
      </c>
      <c r="B97" t="inlineStr">
        <is>
          <t>Software</t>
        </is>
      </c>
      <c r="C97" s="2" t="n">
        <v>46357</v>
      </c>
      <c r="D97" t="n">
        <v>1116</v>
      </c>
      <c r="E97" t="n">
        <v>99.18000000000001</v>
      </c>
      <c r="F97" s="3">
        <f>tblSalesForecast[[#This Row],[Units]]*tblSalesForecast[[#This Row],[Avg Price]]</f>
        <v>110684.88</v>
      </c>
    </row>
    <row r="98">
      <c r="A98" t="inlineStr">
        <is>
          <t>East</t>
        </is>
      </c>
      <c r="B98" t="inlineStr">
        <is>
          <t>Services</t>
        </is>
      </c>
      <c r="C98" s="2" t="n">
        <v>46023</v>
      </c>
      <c r="D98" t="n">
        <v>134</v>
      </c>
      <c r="E98" t="n">
        <v>1450</v>
      </c>
      <c r="F98" s="3">
        <f>tblSalesForecast[[#This Row],[Units]]*tblSalesForecast[[#This Row],[Avg Price]]</f>
        <v>194300</v>
      </c>
    </row>
    <row r="99">
      <c r="A99" t="inlineStr">
        <is>
          <t>East</t>
        </is>
      </c>
      <c r="B99" t="inlineStr">
        <is>
          <t>Services</t>
        </is>
      </c>
      <c r="C99" s="2" t="n">
        <v>46054</v>
      </c>
      <c r="D99" t="n">
        <v>145</v>
      </c>
      <c r="E99" t="n">
        <v>1455.8</v>
      </c>
      <c r="F99" s="3">
        <f>tblSalesForecast[[#This Row],[Units]]*tblSalesForecast[[#This Row],[Avg Price]]</f>
        <v>211091</v>
      </c>
    </row>
    <row r="100">
      <c r="A100" t="inlineStr">
        <is>
          <t>East</t>
        </is>
      </c>
      <c r="B100" t="inlineStr">
        <is>
          <t>Services</t>
        </is>
      </c>
      <c r="C100" s="2" t="n">
        <v>46082</v>
      </c>
      <c r="D100" t="n">
        <v>152</v>
      </c>
      <c r="E100" t="n">
        <v>1461.6</v>
      </c>
      <c r="F100" s="3">
        <f>tblSalesForecast[[#This Row],[Units]]*tblSalesForecast[[#This Row],[Avg Price]]</f>
        <v>222163.19999999998</v>
      </c>
    </row>
    <row r="101">
      <c r="A101" t="inlineStr">
        <is>
          <t>East</t>
        </is>
      </c>
      <c r="B101" t="inlineStr">
        <is>
          <t>Services</t>
        </is>
      </c>
      <c r="C101" s="2" t="n">
        <v>46113</v>
      </c>
      <c r="D101" t="n">
        <v>164</v>
      </c>
      <c r="E101" t="n">
        <v>1467.4</v>
      </c>
      <c r="F101" s="3">
        <f>tblSalesForecast[[#This Row],[Units]]*tblSalesForecast[[#This Row],[Avg Price]]</f>
        <v>240653.6</v>
      </c>
    </row>
    <row r="102">
      <c r="A102" t="inlineStr">
        <is>
          <t>East</t>
        </is>
      </c>
      <c r="B102" t="inlineStr">
        <is>
          <t>Services</t>
        </is>
      </c>
      <c r="C102" s="2" t="n">
        <v>46143</v>
      </c>
      <c r="D102" t="n">
        <v>175</v>
      </c>
      <c r="E102" t="n">
        <v>1473.2</v>
      </c>
      <c r="F102" s="3">
        <f>tblSalesForecast[[#This Row],[Units]]*tblSalesForecast[[#This Row],[Avg Price]]</f>
        <v>257810</v>
      </c>
    </row>
    <row r="103">
      <c r="A103" t="inlineStr">
        <is>
          <t>East</t>
        </is>
      </c>
      <c r="B103" t="inlineStr">
        <is>
          <t>Services</t>
        </is>
      </c>
      <c r="C103" s="2" t="n">
        <v>46174</v>
      </c>
      <c r="D103" t="n">
        <v>160</v>
      </c>
      <c r="E103" t="n">
        <v>1479</v>
      </c>
      <c r="F103" s="3">
        <f>tblSalesForecast[[#This Row],[Units]]*tblSalesForecast[[#This Row],[Avg Price]]</f>
        <v>236640</v>
      </c>
    </row>
    <row r="104">
      <c r="A104" t="inlineStr">
        <is>
          <t>East</t>
        </is>
      </c>
      <c r="B104" t="inlineStr">
        <is>
          <t>Services</t>
        </is>
      </c>
      <c r="C104" s="2" t="n">
        <v>46204</v>
      </c>
      <c r="D104" t="n">
        <v>168</v>
      </c>
      <c r="E104" t="n">
        <v>1484.8</v>
      </c>
      <c r="F104" s="3">
        <f>tblSalesForecast[[#This Row],[Units]]*tblSalesForecast[[#This Row],[Avg Price]]</f>
        <v>249446.4</v>
      </c>
    </row>
    <row r="105">
      <c r="A105" t="inlineStr">
        <is>
          <t>East</t>
        </is>
      </c>
      <c r="B105" t="inlineStr">
        <is>
          <t>Services</t>
        </is>
      </c>
      <c r="C105" s="2" t="n">
        <v>46235</v>
      </c>
      <c r="D105" t="n">
        <v>166</v>
      </c>
      <c r="E105" t="n">
        <v>1490.6</v>
      </c>
      <c r="F105" s="3">
        <f>tblSalesForecast[[#This Row],[Units]]*tblSalesForecast[[#This Row],[Avg Price]]</f>
        <v>247439.59999999998</v>
      </c>
    </row>
    <row r="106">
      <c r="A106" t="inlineStr">
        <is>
          <t>East</t>
        </is>
      </c>
      <c r="B106" t="inlineStr">
        <is>
          <t>Services</t>
        </is>
      </c>
      <c r="C106" s="2" t="n">
        <v>46266</v>
      </c>
      <c r="D106" t="n">
        <v>150</v>
      </c>
      <c r="E106" t="n">
        <v>1496.4</v>
      </c>
      <c r="F106" s="3">
        <f>tblSalesForecast[[#This Row],[Units]]*tblSalesForecast[[#This Row],[Avg Price]]</f>
        <v>224460</v>
      </c>
    </row>
    <row r="107">
      <c r="A107" t="inlineStr">
        <is>
          <t>East</t>
        </is>
      </c>
      <c r="B107" t="inlineStr">
        <is>
          <t>Services</t>
        </is>
      </c>
      <c r="C107" s="2" t="n">
        <v>46296</v>
      </c>
      <c r="D107" t="n">
        <v>146</v>
      </c>
      <c r="E107" t="n">
        <v>1502.2</v>
      </c>
      <c r="F107" s="3">
        <f>tblSalesForecast[[#This Row],[Units]]*tblSalesForecast[[#This Row],[Avg Price]]</f>
        <v>219321.2</v>
      </c>
    </row>
    <row r="108">
      <c r="A108" t="inlineStr">
        <is>
          <t>East</t>
        </is>
      </c>
      <c r="B108" t="inlineStr">
        <is>
          <t>Services</t>
        </is>
      </c>
      <c r="C108" s="2" t="n">
        <v>46327</v>
      </c>
      <c r="D108" t="n">
        <v>156</v>
      </c>
      <c r="E108" t="n">
        <v>1508</v>
      </c>
      <c r="F108" s="3">
        <f>tblSalesForecast[[#This Row],[Units]]*tblSalesForecast[[#This Row],[Avg Price]]</f>
        <v>235248</v>
      </c>
    </row>
    <row r="109">
      <c r="A109" t="inlineStr">
        <is>
          <t>East</t>
        </is>
      </c>
      <c r="B109" t="inlineStr">
        <is>
          <t>Services</t>
        </is>
      </c>
      <c r="C109" s="2" t="n">
        <v>46357</v>
      </c>
      <c r="D109" t="n">
        <v>172</v>
      </c>
      <c r="E109" t="n">
        <v>1513.8</v>
      </c>
      <c r="F109" s="3">
        <f>tblSalesForecast[[#This Row],[Units]]*tblSalesForecast[[#This Row],[Avg Price]]</f>
        <v>260373.6</v>
      </c>
    </row>
    <row r="110">
      <c r="A110" t="inlineStr">
        <is>
          <t>South</t>
        </is>
      </c>
      <c r="B110" t="inlineStr">
        <is>
          <t>Hardware</t>
        </is>
      </c>
      <c r="C110" s="2" t="n">
        <v>46023</v>
      </c>
      <c r="D110" t="n">
        <v>322</v>
      </c>
      <c r="E110" t="n">
        <v>310</v>
      </c>
      <c r="F110" s="3">
        <f>tblSalesForecast[[#This Row],[Units]]*tblSalesForecast[[#This Row],[Avg Price]]</f>
        <v>99820</v>
      </c>
    </row>
    <row r="111">
      <c r="A111" t="inlineStr">
        <is>
          <t>South</t>
        </is>
      </c>
      <c r="B111" t="inlineStr">
        <is>
          <t>Hardware</t>
        </is>
      </c>
      <c r="C111" s="2" t="n">
        <v>46054</v>
      </c>
      <c r="D111" t="n">
        <v>355</v>
      </c>
      <c r="E111" t="n">
        <v>311.24</v>
      </c>
      <c r="F111" s="3">
        <f>tblSalesForecast[[#This Row],[Units]]*tblSalesForecast[[#This Row],[Avg Price]]</f>
        <v>110490.2</v>
      </c>
    </row>
    <row r="112">
      <c r="A112" t="inlineStr">
        <is>
          <t>South</t>
        </is>
      </c>
      <c r="B112" t="inlineStr">
        <is>
          <t>Hardware</t>
        </is>
      </c>
      <c r="C112" s="2" t="n">
        <v>46082</v>
      </c>
      <c r="D112" t="n">
        <v>362</v>
      </c>
      <c r="E112" t="n">
        <v>312.48</v>
      </c>
      <c r="F112" s="3">
        <f>tblSalesForecast[[#This Row],[Units]]*tblSalesForecast[[#This Row],[Avg Price]]</f>
        <v>113117.76000000001</v>
      </c>
    </row>
    <row r="113">
      <c r="A113" t="inlineStr">
        <is>
          <t>South</t>
        </is>
      </c>
      <c r="B113" t="inlineStr">
        <is>
          <t>Hardware</t>
        </is>
      </c>
      <c r="C113" s="2" t="n">
        <v>46113</v>
      </c>
      <c r="D113" t="n">
        <v>387</v>
      </c>
      <c r="E113" t="n">
        <v>313.72</v>
      </c>
      <c r="F113" s="3">
        <f>tblSalesForecast[[#This Row],[Units]]*tblSalesForecast[[#This Row],[Avg Price]]</f>
        <v>121409.64000000001</v>
      </c>
    </row>
    <row r="114">
      <c r="A114" t="inlineStr">
        <is>
          <t>South</t>
        </is>
      </c>
      <c r="B114" t="inlineStr">
        <is>
          <t>Hardware</t>
        </is>
      </c>
      <c r="C114" s="2" t="n">
        <v>46143</v>
      </c>
      <c r="D114" t="n">
        <v>391</v>
      </c>
      <c r="E114" t="n">
        <v>314.96</v>
      </c>
      <c r="F114" s="3">
        <f>tblSalesForecast[[#This Row],[Units]]*tblSalesForecast[[#This Row],[Avg Price]]</f>
        <v>123149.35999999999</v>
      </c>
    </row>
    <row r="115">
      <c r="A115" t="inlineStr">
        <is>
          <t>South</t>
        </is>
      </c>
      <c r="B115" t="inlineStr">
        <is>
          <t>Hardware</t>
        </is>
      </c>
      <c r="C115" s="2" t="n">
        <v>46174</v>
      </c>
      <c r="D115" t="n">
        <v>372</v>
      </c>
      <c r="E115" t="n">
        <v>316.2</v>
      </c>
      <c r="F115" s="3">
        <f>tblSalesForecast[[#This Row],[Units]]*tblSalesForecast[[#This Row],[Avg Price]]</f>
        <v>117626.4</v>
      </c>
    </row>
    <row r="116">
      <c r="A116" t="inlineStr">
        <is>
          <t>South</t>
        </is>
      </c>
      <c r="B116" t="inlineStr">
        <is>
          <t>Hardware</t>
        </is>
      </c>
      <c r="C116" s="2" t="n">
        <v>46204</v>
      </c>
      <c r="D116" t="n">
        <v>364</v>
      </c>
      <c r="E116" t="n">
        <v>317.44</v>
      </c>
      <c r="F116" s="3">
        <f>tblSalesForecast[[#This Row],[Units]]*tblSalesForecast[[#This Row],[Avg Price]]</f>
        <v>115548.16</v>
      </c>
    </row>
    <row r="117">
      <c r="A117" t="inlineStr">
        <is>
          <t>South</t>
        </is>
      </c>
      <c r="B117" t="inlineStr">
        <is>
          <t>Hardware</t>
        </is>
      </c>
      <c r="C117" s="2" t="n">
        <v>46235</v>
      </c>
      <c r="D117" t="n">
        <v>362</v>
      </c>
      <c r="E117" t="n">
        <v>318.68</v>
      </c>
      <c r="F117" s="3">
        <f>tblSalesForecast[[#This Row],[Units]]*tblSalesForecast[[#This Row],[Avg Price]]</f>
        <v>115362.16</v>
      </c>
    </row>
    <row r="118">
      <c r="A118" t="inlineStr">
        <is>
          <t>South</t>
        </is>
      </c>
      <c r="B118" t="inlineStr">
        <is>
          <t>Hardware</t>
        </is>
      </c>
      <c r="C118" s="2" t="n">
        <v>46266</v>
      </c>
      <c r="D118" t="n">
        <v>340</v>
      </c>
      <c r="E118" t="n">
        <v>319.92</v>
      </c>
      <c r="F118" s="3">
        <f>tblSalesForecast[[#This Row],[Units]]*tblSalesForecast[[#This Row],[Avg Price]]</f>
        <v>108772.8</v>
      </c>
    </row>
    <row r="119">
      <c r="A119" t="inlineStr">
        <is>
          <t>South</t>
        </is>
      </c>
      <c r="B119" t="inlineStr">
        <is>
          <t>Hardware</t>
        </is>
      </c>
      <c r="C119" s="2" t="n">
        <v>46296</v>
      </c>
      <c r="D119" t="n">
        <v>347</v>
      </c>
      <c r="E119" t="n">
        <v>321.16</v>
      </c>
      <c r="F119" s="3">
        <f>tblSalesForecast[[#This Row],[Units]]*tblSalesForecast[[#This Row],[Avg Price]]</f>
        <v>111442.52</v>
      </c>
    </row>
    <row r="120">
      <c r="A120" t="inlineStr">
        <is>
          <t>South</t>
        </is>
      </c>
      <c r="B120" t="inlineStr">
        <is>
          <t>Hardware</t>
        </is>
      </c>
      <c r="C120" s="2" t="n">
        <v>46327</v>
      </c>
      <c r="D120" t="n">
        <v>362</v>
      </c>
      <c r="E120" t="n">
        <v>322.4</v>
      </c>
      <c r="F120" s="3">
        <f>tblSalesForecast[[#This Row],[Units]]*tblSalesForecast[[#This Row],[Avg Price]]</f>
        <v>116708.79999999999</v>
      </c>
    </row>
    <row r="121">
      <c r="A121" t="inlineStr">
        <is>
          <t>South</t>
        </is>
      </c>
      <c r="B121" t="inlineStr">
        <is>
          <t>Hardware</t>
        </is>
      </c>
      <c r="C121" s="2" t="n">
        <v>46357</v>
      </c>
      <c r="D121" t="n">
        <v>390</v>
      </c>
      <c r="E121" t="n">
        <v>323.64</v>
      </c>
      <c r="F121" s="3">
        <f>tblSalesForecast[[#This Row],[Units]]*tblSalesForecast[[#This Row],[Avg Price]]</f>
        <v>126219.59999999999</v>
      </c>
    </row>
    <row r="122">
      <c r="A122" t="inlineStr">
        <is>
          <t>South</t>
        </is>
      </c>
      <c r="B122" t="inlineStr">
        <is>
          <t>Software</t>
        </is>
      </c>
      <c r="C122" s="2" t="n">
        <v>46023</v>
      </c>
      <c r="D122" t="n">
        <v>727</v>
      </c>
      <c r="E122" t="n">
        <v>95</v>
      </c>
      <c r="F122" s="3">
        <f>tblSalesForecast[[#This Row],[Units]]*tblSalesForecast[[#This Row],[Avg Price]]</f>
        <v>69065</v>
      </c>
    </row>
    <row r="123">
      <c r="A123" t="inlineStr">
        <is>
          <t>South</t>
        </is>
      </c>
      <c r="B123" t="inlineStr">
        <is>
          <t>Software</t>
        </is>
      </c>
      <c r="C123" s="2" t="n">
        <v>46054</v>
      </c>
      <c r="D123" t="n">
        <v>769</v>
      </c>
      <c r="E123" t="n">
        <v>95.38</v>
      </c>
      <c r="F123" s="3">
        <f>tblSalesForecast[[#This Row],[Units]]*tblSalesForecast[[#This Row],[Avg Price]]</f>
        <v>73347.22</v>
      </c>
    </row>
    <row r="124">
      <c r="A124" t="inlineStr">
        <is>
          <t>South</t>
        </is>
      </c>
      <c r="B124" t="inlineStr">
        <is>
          <t>Software</t>
        </is>
      </c>
      <c r="C124" s="2" t="n">
        <v>46082</v>
      </c>
      <c r="D124" t="n">
        <v>799</v>
      </c>
      <c r="E124" t="n">
        <v>95.76000000000001</v>
      </c>
      <c r="F124" s="3">
        <f>tblSalesForecast[[#This Row],[Units]]*tblSalesForecast[[#This Row],[Avg Price]]</f>
        <v>76512.24</v>
      </c>
    </row>
    <row r="125">
      <c r="A125" t="inlineStr">
        <is>
          <t>South</t>
        </is>
      </c>
      <c r="B125" t="inlineStr">
        <is>
          <t>Software</t>
        </is>
      </c>
      <c r="C125" s="2" t="n">
        <v>46113</v>
      </c>
      <c r="D125" t="n">
        <v>821</v>
      </c>
      <c r="E125" t="n">
        <v>96.14</v>
      </c>
      <c r="F125" s="3">
        <f>tblSalesForecast[[#This Row],[Units]]*tblSalesForecast[[#This Row],[Avg Price]]</f>
        <v>78930.94</v>
      </c>
    </row>
    <row r="126">
      <c r="A126" t="inlineStr">
        <is>
          <t>South</t>
        </is>
      </c>
      <c r="B126" t="inlineStr">
        <is>
          <t>Software</t>
        </is>
      </c>
      <c r="C126" s="2" t="n">
        <v>46143</v>
      </c>
      <c r="D126" t="n">
        <v>812</v>
      </c>
      <c r="E126" t="n">
        <v>96.52</v>
      </c>
      <c r="F126" s="3">
        <f>tblSalesForecast[[#This Row],[Units]]*tblSalesForecast[[#This Row],[Avg Price]]</f>
        <v>78374.23999999999</v>
      </c>
    </row>
    <row r="127">
      <c r="A127" t="inlineStr">
        <is>
          <t>South</t>
        </is>
      </c>
      <c r="B127" t="inlineStr">
        <is>
          <t>Software</t>
        </is>
      </c>
      <c r="C127" s="2" t="n">
        <v>46174</v>
      </c>
      <c r="D127" t="n">
        <v>791</v>
      </c>
      <c r="E127" t="n">
        <v>96.90000000000001</v>
      </c>
      <c r="F127" s="3">
        <f>tblSalesForecast[[#This Row],[Units]]*tblSalesForecast[[#This Row],[Avg Price]]</f>
        <v>76647.90000000001</v>
      </c>
    </row>
    <row r="128">
      <c r="A128" t="inlineStr">
        <is>
          <t>South</t>
        </is>
      </c>
      <c r="B128" t="inlineStr">
        <is>
          <t>Software</t>
        </is>
      </c>
      <c r="C128" s="2" t="n">
        <v>46204</v>
      </c>
      <c r="D128" t="n">
        <v>783</v>
      </c>
      <c r="E128" t="n">
        <v>97.28</v>
      </c>
      <c r="F128" s="3">
        <f>tblSalesForecast[[#This Row],[Units]]*tblSalesForecast[[#This Row],[Avg Price]]</f>
        <v>76170.24</v>
      </c>
    </row>
    <row r="129">
      <c r="A129" t="inlineStr">
        <is>
          <t>South</t>
        </is>
      </c>
      <c r="B129" t="inlineStr">
        <is>
          <t>Software</t>
        </is>
      </c>
      <c r="C129" s="2" t="n">
        <v>46235</v>
      </c>
      <c r="D129" t="n">
        <v>769</v>
      </c>
      <c r="E129" t="n">
        <v>97.66</v>
      </c>
      <c r="F129" s="3">
        <f>tblSalesForecast[[#This Row],[Units]]*tblSalesForecast[[#This Row],[Avg Price]]</f>
        <v>75100.54</v>
      </c>
    </row>
    <row r="130">
      <c r="A130" t="inlineStr">
        <is>
          <t>South</t>
        </is>
      </c>
      <c r="B130" t="inlineStr">
        <is>
          <t>Software</t>
        </is>
      </c>
      <c r="C130" s="2" t="n">
        <v>46266</v>
      </c>
      <c r="D130" t="n">
        <v>751</v>
      </c>
      <c r="E130" t="n">
        <v>98.04000000000001</v>
      </c>
      <c r="F130" s="3">
        <f>tblSalesForecast[[#This Row],[Units]]*tblSalesForecast[[#This Row],[Avg Price]]</f>
        <v>73628.04000000001</v>
      </c>
    </row>
    <row r="131">
      <c r="A131" t="inlineStr">
        <is>
          <t>South</t>
        </is>
      </c>
      <c r="B131" t="inlineStr">
        <is>
          <t>Software</t>
        </is>
      </c>
      <c r="C131" s="2" t="n">
        <v>46296</v>
      </c>
      <c r="D131" t="n">
        <v>740</v>
      </c>
      <c r="E131" t="n">
        <v>98.42</v>
      </c>
      <c r="F131" s="3">
        <f>tblSalesForecast[[#This Row],[Units]]*tblSalesForecast[[#This Row],[Avg Price]]</f>
        <v>72830.8</v>
      </c>
    </row>
    <row r="132">
      <c r="A132" t="inlineStr">
        <is>
          <t>South</t>
        </is>
      </c>
      <c r="B132" t="inlineStr">
        <is>
          <t>Software</t>
        </is>
      </c>
      <c r="C132" s="2" t="n">
        <v>46327</v>
      </c>
      <c r="D132" t="n">
        <v>781</v>
      </c>
      <c r="E132" t="n">
        <v>98.8</v>
      </c>
      <c r="F132" s="3">
        <f>tblSalesForecast[[#This Row],[Units]]*tblSalesForecast[[#This Row],[Avg Price]]</f>
        <v>77162.8</v>
      </c>
    </row>
    <row r="133">
      <c r="A133" t="inlineStr">
        <is>
          <t>South</t>
        </is>
      </c>
      <c r="B133" t="inlineStr">
        <is>
          <t>Software</t>
        </is>
      </c>
      <c r="C133" s="2" t="n">
        <v>46357</v>
      </c>
      <c r="D133" t="n">
        <v>797</v>
      </c>
      <c r="E133" t="n">
        <v>99.18000000000001</v>
      </c>
      <c r="F133" s="3">
        <f>tblSalesForecast[[#This Row],[Units]]*tblSalesForecast[[#This Row],[Avg Price]]</f>
        <v>79046.46</v>
      </c>
    </row>
    <row r="134">
      <c r="A134" t="inlineStr">
        <is>
          <t>South</t>
        </is>
      </c>
      <c r="B134" t="inlineStr">
        <is>
          <t>Services</t>
        </is>
      </c>
      <c r="C134" s="2" t="n">
        <v>46023</v>
      </c>
      <c r="D134" t="n">
        <v>105</v>
      </c>
      <c r="E134" t="n">
        <v>1450</v>
      </c>
      <c r="F134" s="3">
        <f>tblSalesForecast[[#This Row],[Units]]*tblSalesForecast[[#This Row],[Avg Price]]</f>
        <v>152250</v>
      </c>
    </row>
    <row r="135">
      <c r="A135" t="inlineStr">
        <is>
          <t>South</t>
        </is>
      </c>
      <c r="B135" t="inlineStr">
        <is>
          <t>Services</t>
        </is>
      </c>
      <c r="C135" s="2" t="n">
        <v>46054</v>
      </c>
      <c r="D135" t="n">
        <v>121</v>
      </c>
      <c r="E135" t="n">
        <v>1455.8</v>
      </c>
      <c r="F135" s="3">
        <f>tblSalesForecast[[#This Row],[Units]]*tblSalesForecast[[#This Row],[Avg Price]]</f>
        <v>176151.8</v>
      </c>
    </row>
    <row r="136">
      <c r="A136" t="inlineStr">
        <is>
          <t>South</t>
        </is>
      </c>
      <c r="B136" t="inlineStr">
        <is>
          <t>Services</t>
        </is>
      </c>
      <c r="C136" s="2" t="n">
        <v>46082</v>
      </c>
      <c r="D136" t="n">
        <v>112</v>
      </c>
      <c r="E136" t="n">
        <v>1461.6</v>
      </c>
      <c r="F136" s="3">
        <f>tblSalesForecast[[#This Row],[Units]]*tblSalesForecast[[#This Row],[Avg Price]]</f>
        <v>163699.19999999998</v>
      </c>
    </row>
    <row r="137">
      <c r="A137" t="inlineStr">
        <is>
          <t>South</t>
        </is>
      </c>
      <c r="B137" t="inlineStr">
        <is>
          <t>Services</t>
        </is>
      </c>
      <c r="C137" s="2" t="n">
        <v>46113</v>
      </c>
      <c r="D137" t="n">
        <v>113</v>
      </c>
      <c r="E137" t="n">
        <v>1467.4</v>
      </c>
      <c r="F137" s="3">
        <f>tblSalesForecast[[#This Row],[Units]]*tblSalesForecast[[#This Row],[Avg Price]]</f>
        <v>165816.2</v>
      </c>
    </row>
    <row r="138">
      <c r="A138" t="inlineStr">
        <is>
          <t>South</t>
        </is>
      </c>
      <c r="B138" t="inlineStr">
        <is>
          <t>Services</t>
        </is>
      </c>
      <c r="C138" s="2" t="n">
        <v>46143</v>
      </c>
      <c r="D138" t="n">
        <v>118</v>
      </c>
      <c r="E138" t="n">
        <v>1473.2</v>
      </c>
      <c r="F138" s="3">
        <f>tblSalesForecast[[#This Row],[Units]]*tblSalesForecast[[#This Row],[Avg Price]]</f>
        <v>173837.6</v>
      </c>
    </row>
    <row r="139">
      <c r="A139" t="inlineStr">
        <is>
          <t>South</t>
        </is>
      </c>
      <c r="B139" t="inlineStr">
        <is>
          <t>Services</t>
        </is>
      </c>
      <c r="C139" s="2" t="n">
        <v>46174</v>
      </c>
      <c r="D139" t="n">
        <v>124</v>
      </c>
      <c r="E139" t="n">
        <v>1479</v>
      </c>
      <c r="F139" s="3">
        <f>tblSalesForecast[[#This Row],[Units]]*tblSalesForecast[[#This Row],[Avg Price]]</f>
        <v>183396</v>
      </c>
    </row>
    <row r="140">
      <c r="A140" t="inlineStr">
        <is>
          <t>South</t>
        </is>
      </c>
      <c r="B140" t="inlineStr">
        <is>
          <t>Services</t>
        </is>
      </c>
      <c r="C140" s="2" t="n">
        <v>46204</v>
      </c>
      <c r="D140" t="n">
        <v>98</v>
      </c>
      <c r="E140" t="n">
        <v>1484.8</v>
      </c>
      <c r="F140" s="3">
        <f>tblSalesForecast[[#This Row],[Units]]*tblSalesForecast[[#This Row],[Avg Price]]</f>
        <v>145510.4</v>
      </c>
    </row>
    <row r="141">
      <c r="A141" t="inlineStr">
        <is>
          <t>South</t>
        </is>
      </c>
      <c r="B141" t="inlineStr">
        <is>
          <t>Services</t>
        </is>
      </c>
      <c r="C141" s="2" t="n">
        <v>46235</v>
      </c>
      <c r="D141" t="n">
        <v>110</v>
      </c>
      <c r="E141" t="n">
        <v>1490.6</v>
      </c>
      <c r="F141" s="3">
        <f>tblSalesForecast[[#This Row],[Units]]*tblSalesForecast[[#This Row],[Avg Price]]</f>
        <v>163966</v>
      </c>
    </row>
    <row r="142">
      <c r="A142" t="inlineStr">
        <is>
          <t>South</t>
        </is>
      </c>
      <c r="B142" t="inlineStr">
        <is>
          <t>Services</t>
        </is>
      </c>
      <c r="C142" s="2" t="n">
        <v>46266</v>
      </c>
      <c r="D142" t="n">
        <v>94</v>
      </c>
      <c r="E142" t="n">
        <v>1496.4</v>
      </c>
      <c r="F142" s="3">
        <f>tblSalesForecast[[#This Row],[Units]]*tblSalesForecast[[#This Row],[Avg Price]]</f>
        <v>140661.6</v>
      </c>
    </row>
    <row r="143">
      <c r="A143" t="inlineStr">
        <is>
          <t>South</t>
        </is>
      </c>
      <c r="B143" t="inlineStr">
        <is>
          <t>Services</t>
        </is>
      </c>
      <c r="C143" s="2" t="n">
        <v>46296</v>
      </c>
      <c r="D143" t="n">
        <v>103</v>
      </c>
      <c r="E143" t="n">
        <v>1502.2</v>
      </c>
      <c r="F143" s="3">
        <f>tblSalesForecast[[#This Row],[Units]]*tblSalesForecast[[#This Row],[Avg Price]]</f>
        <v>154726.6</v>
      </c>
    </row>
    <row r="144">
      <c r="A144" t="inlineStr">
        <is>
          <t>South</t>
        </is>
      </c>
      <c r="B144" t="inlineStr">
        <is>
          <t>Services</t>
        </is>
      </c>
      <c r="C144" s="2" t="n">
        <v>46327</v>
      </c>
      <c r="D144" t="n">
        <v>118</v>
      </c>
      <c r="E144" t="n">
        <v>1508</v>
      </c>
      <c r="F144" s="3">
        <f>tblSalesForecast[[#This Row],[Units]]*tblSalesForecast[[#This Row],[Avg Price]]</f>
        <v>177944</v>
      </c>
    </row>
    <row r="145">
      <c r="A145" t="inlineStr">
        <is>
          <t>South</t>
        </is>
      </c>
      <c r="B145" t="inlineStr">
        <is>
          <t>Services</t>
        </is>
      </c>
      <c r="C145" s="2" t="n">
        <v>46357</v>
      </c>
      <c r="D145" t="n">
        <v>129</v>
      </c>
      <c r="E145" t="n">
        <v>1513.8</v>
      </c>
      <c r="F145" s="3">
        <f>tblSalesForecast[[#This Row],[Units]]*tblSalesForecast[[#This Row],[Avg Price]]</f>
        <v>195280.19999999998</v>
      </c>
    </row>
  </sheetData>
  <dataValidations count="2">
    <dataValidation sqref="A2:A145" showDropDown="0" showInputMessage="0" showErrorMessage="0" allowBlank="0" type="list">
      <formula1>"West,Central,East,South"</formula1>
    </dataValidation>
    <dataValidation sqref="D2:D145" showDropDown="0" showInputMessage="0" showErrorMessage="0" allowBlank="0" type="whole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Region Manager</t>
        </is>
      </c>
      <c r="C1" s="1" t="inlineStr">
        <is>
          <t>FY26 Target</t>
        </is>
      </c>
    </row>
    <row r="2">
      <c r="A2" t="inlineStr">
        <is>
          <t>West</t>
        </is>
      </c>
      <c r="B2" t="inlineStr">
        <is>
          <t>A. Rivera</t>
        </is>
      </c>
      <c r="C2" t="n">
        <v>6200000</v>
      </c>
    </row>
    <row r="3">
      <c r="A3" t="inlineStr">
        <is>
          <t>Central</t>
        </is>
      </c>
      <c r="B3" t="inlineStr">
        <is>
          <t>B. Chen</t>
        </is>
      </c>
      <c r="C3" t="n">
        <v>4300000</v>
      </c>
    </row>
    <row r="4">
      <c r="A4" t="inlineStr">
        <is>
          <t>East</t>
        </is>
      </c>
      <c r="B4" t="inlineStr">
        <is>
          <t>C. Okafor</t>
        </is>
      </c>
      <c r="C4" t="n">
        <v>5600000</v>
      </c>
    </row>
    <row r="5">
      <c r="A5" t="inlineStr">
        <is>
          <t>South</t>
        </is>
      </c>
      <c r="B5" t="inlineStr">
        <is>
          <t>D. Patel</t>
        </is>
      </c>
      <c r="C5" t="n">
        <v>3900000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FY26 Revenue Forecast by Region</t>
        </is>
      </c>
    </row>
    <row r="3">
      <c r="A3" s="1" t="inlineStr">
        <is>
          <t>Region</t>
        </is>
      </c>
      <c r="B3" s="1" t="inlineStr">
        <is>
          <t>Q1</t>
        </is>
      </c>
      <c r="C3" s="1" t="inlineStr">
        <is>
          <t>Q2</t>
        </is>
      </c>
      <c r="D3" s="1" t="inlineStr">
        <is>
          <t>Q3</t>
        </is>
      </c>
      <c r="E3" s="1" t="inlineStr">
        <is>
          <t>Q4</t>
        </is>
      </c>
      <c r="F3" s="1" t="inlineStr">
        <is>
          <t>FY26</t>
        </is>
      </c>
      <c r="G3" s="1" t="inlineStr">
        <is>
          <t>Target</t>
        </is>
      </c>
      <c r="H3" s="1" t="inlineStr">
        <is>
          <t>% of Target</t>
        </is>
      </c>
    </row>
    <row r="4">
      <c r="A4" t="inlineStr">
        <is>
          <t>West</t>
        </is>
      </c>
      <c r="B4" s="3">
        <f>SUMIFS(tblSalesForecast[Revenue],tblSalesForecast[Region],$A4,tblSalesForecast[Month],"&gt;="&amp;DATE(2026,1,1),tblSalesForecast[Month],"&lt;"&amp;EDATE(DATE(2026,1,1),3))</f>
        <v>1544984.02</v>
      </c>
      <c r="C4" s="3">
        <f>SUMIFS(tblSalesForecast[Revenue],tblSalesForecast[Region],$A4,tblSalesForecast[Month],"&gt;="&amp;DATE(2026,4,1),tblSalesForecast[Month],"&lt;"&amp;EDATE(DATE(2026,4,1),3))</f>
        <v>1663214.12</v>
      </c>
      <c r="D4" s="3">
        <f>SUMIFS(tblSalesForecast[Revenue],tblSalesForecast[Region],$A4,tblSalesForecast[Month],"&gt;="&amp;DATE(2026,7,1),tblSalesForecast[Month],"&lt;"&amp;EDATE(DATE(2026,7,1),3))</f>
        <v>1599264.5799999998</v>
      </c>
      <c r="E4" s="3">
        <f>SUMIFS(tblSalesForecast[Revenue],tblSalesForecast[Region],$A4,tblSalesForecast[Month],"&gt;="&amp;DATE(2026,10,1),tblSalesForecast[Month],"&lt;"&amp;EDATE(DATE(2026,10,1),3))</f>
        <v>1644262.42</v>
      </c>
      <c r="F4" s="3">
        <f>SUM(B4:E4)</f>
        <v>6451725.14</v>
      </c>
      <c r="G4" s="3">
        <f>VLOOKUP($A4,tblRegions,3,FALSE)</f>
        <v>6200000</v>
      </c>
      <c r="H4" s="5">
        <f>IFERROR(F4/G4,0)</f>
        <v>1.040600829032258</v>
      </c>
    </row>
    <row r="5">
      <c r="A5" t="inlineStr">
        <is>
          <t>Central</t>
        </is>
      </c>
      <c r="B5" s="3">
        <f>SUMIFS(tblSalesForecast[Revenue],tblSalesForecast[Region],$A5,tblSalesForecast[Month],"&gt;="&amp;DATE(2026,1,1),tblSalesForecast[Month],"&lt;"&amp;EDATE(DATE(2026,1,1),3))</f>
        <v>1142819.98</v>
      </c>
      <c r="C5" s="3">
        <f>SUMIFS(tblSalesForecast[Revenue],tblSalesForecast[Region],$A5,tblSalesForecast[Month],"&gt;="&amp;DATE(2026,4,1),tblSalesForecast[Month],"&lt;"&amp;EDATE(DATE(2026,4,1),3))</f>
        <v>1239821.56</v>
      </c>
      <c r="D5" s="3">
        <f>SUMIFS(tblSalesForecast[Revenue],tblSalesForecast[Region],$A5,tblSalesForecast[Month],"&gt;="&amp;DATE(2026,7,1),tblSalesForecast[Month],"&lt;"&amp;EDATE(DATE(2026,7,1),3))</f>
        <v>1229472.06</v>
      </c>
      <c r="E5" s="3">
        <f>SUMIFS(tblSalesForecast[Revenue],tblSalesForecast[Region],$A5,tblSalesForecast[Month],"&gt;="&amp;DATE(2026,10,1),tblSalesForecast[Month],"&lt;"&amp;EDATE(DATE(2026,10,1),3))</f>
        <v>1219463.6</v>
      </c>
      <c r="F5" s="3">
        <f>SUM(B5:E5)</f>
        <v>4831577.2</v>
      </c>
      <c r="G5" s="3">
        <f>VLOOKUP($A5,tblRegions,3,FALSE)</f>
        <v>4300000</v>
      </c>
      <c r="H5" s="5">
        <f>IFERROR(F5/G5,0)</f>
        <v>1.1236226046511628</v>
      </c>
    </row>
    <row r="6">
      <c r="A6" t="inlineStr">
        <is>
          <t>East</t>
        </is>
      </c>
      <c r="B6" s="3">
        <f>SUMIFS(tblSalesForecast[Revenue],tblSalesForecast[Region],$A6,tblSalesForecast[Month],"&gt;="&amp;DATE(2026,1,1),tblSalesForecast[Month],"&lt;"&amp;EDATE(DATE(2026,1,1),3))</f>
        <v>1390776.12</v>
      </c>
      <c r="C6" s="3">
        <f>SUMIFS(tblSalesForecast[Revenue],tblSalesForecast[Region],$A6,tblSalesForecast[Month],"&gt;="&amp;DATE(2026,4,1),tblSalesForecast[Month],"&lt;"&amp;EDATE(DATE(2026,4,1),3))</f>
        <v>1546043.4</v>
      </c>
      <c r="D6" s="3">
        <f>SUMIFS(tblSalesForecast[Revenue],tblSalesForecast[Region],$A6,tblSalesForecast[Month],"&gt;="&amp;DATE(2026,7,1),tblSalesForecast[Month],"&lt;"&amp;EDATE(DATE(2026,7,1),3))</f>
        <v>1508464.38</v>
      </c>
      <c r="E6" s="3">
        <f>SUMIFS(tblSalesForecast[Revenue],tblSalesForecast[Region],$A6,tblSalesForecast[Month],"&gt;="&amp;DATE(2026,10,1),tblSalesForecast[Month],"&lt;"&amp;EDATE(DATE(2026,10,1),3))</f>
        <v>1513512.58</v>
      </c>
      <c r="F6" s="3">
        <f>SUM(B6:E6)</f>
        <v>5958796.48</v>
      </c>
      <c r="G6" s="3">
        <f>VLOOKUP($A6,tblRegions,3,FALSE)</f>
        <v>5600000</v>
      </c>
      <c r="H6" s="5">
        <f>IFERROR(F6/G6,0)</f>
        <v>1.0640708</v>
      </c>
    </row>
    <row r="7">
      <c r="A7" t="inlineStr">
        <is>
          <t>South</t>
        </is>
      </c>
      <c r="B7" s="3">
        <f>SUMIFS(tblSalesForecast[Revenue],tblSalesForecast[Region],$A7,tblSalesForecast[Month],"&gt;="&amp;DATE(2026,1,1),tblSalesForecast[Month],"&lt;"&amp;EDATE(DATE(2026,1,1),3))</f>
        <v>1034453.4199999999</v>
      </c>
      <c r="C7" s="3">
        <f>SUMIFS(tblSalesForecast[Revenue],tblSalesForecast[Region],$A7,tblSalesForecast[Month],"&gt;="&amp;DATE(2026,4,1),tblSalesForecast[Month],"&lt;"&amp;EDATE(DATE(2026,4,1),3))</f>
        <v>1119188.28</v>
      </c>
      <c r="D7" s="3">
        <f>SUMIFS(tblSalesForecast[Revenue],tblSalesForecast[Region],$A7,tblSalesForecast[Month],"&gt;="&amp;DATE(2026,7,1),tblSalesForecast[Month],"&lt;"&amp;EDATE(DATE(2026,7,1),3))</f>
        <v>1014719.9400000001</v>
      </c>
      <c r="E7" s="3">
        <f>SUMIFS(tblSalesForecast[Revenue],tblSalesForecast[Region],$A7,tblSalesForecast[Month],"&gt;="&amp;DATE(2026,10,1),tblSalesForecast[Month],"&lt;"&amp;EDATE(DATE(2026,10,1),3))</f>
        <v>1111361.78</v>
      </c>
      <c r="F7" s="3">
        <f>SUM(B7:E7)</f>
        <v>4279723.42</v>
      </c>
      <c r="G7" s="3">
        <f>VLOOKUP($A7,tblRegions,3,FALSE)</f>
        <v>3900000</v>
      </c>
      <c r="H7" s="5">
        <f>IFERROR(F7/G7,0)</f>
        <v>1.0973649794871794</v>
      </c>
    </row>
    <row r="8">
      <c r="A8" t="str">
        <f>"Total"</f>
        <v>Total</v>
      </c>
      <c r="B8" s="3">
        <f>SUM(B4:B7)</f>
        <v>5113033.54</v>
      </c>
      <c r="C8" s="3">
        <f>SUM(C4:C7)</f>
        <v>5568267.36</v>
      </c>
      <c r="D8" s="3">
        <f>SUM(D4:D7)</f>
        <v>5351920.96</v>
      </c>
      <c r="E8" s="3">
        <f>SUM(E4:E7)</f>
        <v>5488600.38</v>
      </c>
      <c r="F8" s="3">
        <f>SUM(F4:F7)</f>
        <v>21521822.240000002</v>
      </c>
    </row>
    <row r="11">
      <c r="A11" s="1" t="inlineStr">
        <is>
          <t>Month</t>
        </is>
      </c>
      <c r="B11" s="1" t="inlineStr">
        <is>
          <t>Hardware</t>
        </is>
      </c>
      <c r="C11" s="1" t="inlineStr">
        <is>
          <t>Software</t>
        </is>
      </c>
      <c r="D11" s="1" t="inlineStr">
        <is>
          <t>Services</t>
        </is>
      </c>
    </row>
    <row r="12">
      <c r="A12" s="2" t="n">
        <v>46023</v>
      </c>
      <c r="B12" s="3">
        <f>SUMIFS(tblSalesForecast[Revenue],tblSalesForecast[Product Line],B$11,tblSalesForecast[Month],$A12)</f>
        <v>521420</v>
      </c>
      <c r="C12" s="3">
        <f>SUMIFS(tblSalesForecast[Revenue],tblSalesForecast[Product Line],C$11,tblSalesForecast[Month],$A12)</f>
        <v>341810</v>
      </c>
      <c r="D12" s="3">
        <f>SUMIFS(tblSalesForecast[Revenue],tblSalesForecast[Product Line],D$11,tblSalesForecast[Month],$A12)</f>
        <v>749650</v>
      </c>
    </row>
    <row r="13">
      <c r="A13" s="2" t="n">
        <v>46054</v>
      </c>
      <c r="B13" s="3">
        <f>SUMIFS(tblSalesForecast[Revenue],tblSalesForecast[Product Line],B$11,tblSalesForecast[Month],$A13)</f>
        <v>552139.76</v>
      </c>
      <c r="C13" s="3">
        <f>SUMIFS(tblSalesForecast[Revenue],tblSalesForecast[Product Line],C$11,tblSalesForecast[Month],$A13)</f>
        <v>364065.45999999996</v>
      </c>
      <c r="D13" s="3">
        <f>SUMIFS(tblSalesForecast[Revenue],tblSalesForecast[Product Line],D$11,tblSalesForecast[Month],$A13)</f>
        <v>809424.7999999999</v>
      </c>
    </row>
    <row r="14">
      <c r="A14" s="2" t="n">
        <v>46082</v>
      </c>
      <c r="B14" s="3">
        <f>SUMIFS(tblSalesForecast[Revenue],tblSalesForecast[Product Line],B$11,tblSalesForecast[Month],$A14)</f>
        <v>579025.4400000001</v>
      </c>
      <c r="C14" s="3">
        <f>SUMIFS(tblSalesForecast[Revenue],tblSalesForecast[Product Line],C$11,tblSalesForecast[Month],$A14)</f>
        <v>382848.48</v>
      </c>
      <c r="D14" s="3">
        <f>SUMIFS(tblSalesForecast[Revenue],tblSalesForecast[Product Line],D$11,tblSalesForecast[Month],$A14)</f>
        <v>812649.6</v>
      </c>
    </row>
    <row r="15">
      <c r="A15" s="2" t="n">
        <v>46113</v>
      </c>
      <c r="B15" s="3">
        <f>SUMIFS(tblSalesForecast[Revenue],tblSalesForecast[Product Line],B$11,tblSalesForecast[Month],$A15)</f>
        <v>597322.88</v>
      </c>
      <c r="C15" s="3">
        <f>SUMIFS(tblSalesForecast[Revenue],tblSalesForecast[Product Line],C$11,tblSalesForecast[Month],$A15)</f>
        <v>389751.56</v>
      </c>
      <c r="D15" s="3">
        <f>SUMIFS(tblSalesForecast[Revenue],tblSalesForecast[Product Line],D$11,tblSalesForecast[Month],$A15)</f>
        <v>856961.6000000001</v>
      </c>
    </row>
    <row r="16">
      <c r="A16" s="2" t="n">
        <v>46143</v>
      </c>
      <c r="B16" s="3">
        <f>SUMIFS(tblSalesForecast[Revenue],tblSalesForecast[Product Line],B$11,tblSalesForecast[Month],$A16)</f>
        <v>596849.2</v>
      </c>
      <c r="C16" s="3">
        <f>SUMIFS(tblSalesForecast[Revenue],tblSalesForecast[Product Line],C$11,tblSalesForecast[Month],$A16)</f>
        <v>392450.31999999995</v>
      </c>
      <c r="D16" s="3">
        <f>SUMIFS(tblSalesForecast[Revenue],tblSalesForecast[Product Line],D$11,tblSalesForecast[Month],$A16)</f>
        <v>900125.2</v>
      </c>
    </row>
    <row r="17">
      <c r="A17" s="2" t="n">
        <v>46174</v>
      </c>
      <c r="B17" s="3">
        <f>SUMIFS(tblSalesForecast[Revenue],tblSalesForecast[Product Line],B$11,tblSalesForecast[Month],$A17)</f>
        <v>586551</v>
      </c>
      <c r="C17" s="3">
        <f>SUMIFS(tblSalesForecast[Revenue],tblSalesForecast[Product Line],C$11,tblSalesForecast[Month],$A17)</f>
        <v>388956.60000000003</v>
      </c>
      <c r="D17" s="3">
        <f>SUMIFS(tblSalesForecast[Revenue],tblSalesForecast[Product Line],D$11,tblSalesForecast[Month],$A17)</f>
        <v>859299</v>
      </c>
    </row>
    <row r="18">
      <c r="A18" s="2" t="n">
        <v>46204</v>
      </c>
      <c r="B18" s="3">
        <f>SUMIFS(tblSalesForecast[Revenue],tblSalesForecast[Product Line],B$11,tblSalesForecast[Month],$A18)</f>
        <v>579962.88</v>
      </c>
      <c r="C18" s="3">
        <f>SUMIFS(tblSalesForecast[Revenue],tblSalesForecast[Product Line],C$11,tblSalesForecast[Month],$A18)</f>
        <v>382115.84</v>
      </c>
      <c r="D18" s="3">
        <f>SUMIFS(tblSalesForecast[Revenue],tblSalesForecast[Product Line],D$11,tblSalesForecast[Month],$A18)</f>
        <v>870092.7999999999</v>
      </c>
    </row>
    <row r="19">
      <c r="A19" s="2" t="n">
        <v>46235</v>
      </c>
      <c r="B19" s="3">
        <f>SUMIFS(tblSalesForecast[Revenue],tblSalesForecast[Product Line],B$11,tblSalesForecast[Month],$A19)</f>
        <v>562788.88</v>
      </c>
      <c r="C19" s="3">
        <f>SUMIFS(tblSalesForecast[Revenue],tblSalesForecast[Product Line],C$11,tblSalesForecast[Month],$A19)</f>
        <v>374037.8</v>
      </c>
      <c r="D19" s="3">
        <f>SUMIFS(tblSalesForecast[Revenue],tblSalesForecast[Product Line],D$11,tblSalesForecast[Month],$A19)</f>
        <v>848151.3999999999</v>
      </c>
    </row>
    <row r="20">
      <c r="A20" s="2" t="n">
        <v>46266</v>
      </c>
      <c r="B20" s="3">
        <f>SUMIFS(tblSalesForecast[Revenue],tblSalesForecast[Product Line],B$11,tblSalesForecast[Month],$A20)</f>
        <v>565298.64</v>
      </c>
      <c r="C20" s="3">
        <f>SUMIFS(tblSalesForecast[Revenue],tblSalesForecast[Product Line],C$11,tblSalesForecast[Month],$A20)</f>
        <v>370395.12</v>
      </c>
      <c r="D20" s="3">
        <f>SUMIFS(tblSalesForecast[Revenue],tblSalesForecast[Product Line],D$11,tblSalesForecast[Month],$A20)</f>
        <v>799077.6000000001</v>
      </c>
    </row>
    <row r="21">
      <c r="A21" s="2" t="n">
        <v>46296</v>
      </c>
      <c r="B21" s="3">
        <f>SUMIFS(tblSalesForecast[Revenue],tblSalesForecast[Product Line],B$11,tblSalesForecast[Month],$A21)</f>
        <v>567168.56</v>
      </c>
      <c r="C21" s="3">
        <f>SUMIFS(tblSalesForecast[Revenue],tblSalesForecast[Product Line],C$11,tblSalesForecast[Month],$A21)</f>
        <v>369665.52</v>
      </c>
      <c r="D21" s="3">
        <f>SUMIFS(tblSalesForecast[Revenue],tblSalesForecast[Product Line],D$11,tblSalesForecast[Month],$A21)</f>
        <v>784148.4</v>
      </c>
    </row>
    <row r="22">
      <c r="A22" s="2" t="n">
        <v>46327</v>
      </c>
      <c r="B22" s="3">
        <f>SUMIFS(tblSalesForecast[Revenue],tblSalesForecast[Product Line],B$11,tblSalesForecast[Month],$A22)</f>
        <v>575806.3999999999</v>
      </c>
      <c r="C22" s="3">
        <f>SUMIFS(tblSalesForecast[Revenue],tblSalesForecast[Product Line],C$11,tblSalesForecast[Month],$A22)</f>
        <v>383442.8</v>
      </c>
      <c r="D22" s="3">
        <f>SUMIFS(tblSalesForecast[Revenue],tblSalesForecast[Product Line],D$11,tblSalesForecast[Month],$A22)</f>
        <v>873132</v>
      </c>
    </row>
    <row r="23">
      <c r="A23" s="2" t="n">
        <v>46357</v>
      </c>
      <c r="B23" s="3">
        <f>SUMIFS(tblSalesForecast[Revenue],tblSalesForecast[Product Line],B$11,tblSalesForecast[Month],$A23)</f>
        <v>618476.0399999999</v>
      </c>
      <c r="C23" s="3">
        <f>SUMIFS(tblSalesForecast[Revenue],tblSalesForecast[Product Line],C$11,tblSalesForecast[Month],$A23)</f>
        <v>399397.86</v>
      </c>
      <c r="D23" s="3">
        <f>SUMIFS(tblSalesForecast[Revenue],tblSalesForecast[Product Line],D$11,tblSalesForecast[Month],$A23)</f>
        <v>917362.8</v>
      </c>
    </row>
  </sheetData>
  <conditionalFormatting sqref="H4:H7">
    <cfRule type="cellIs" priority="1" operator="lessThan" dxfId="0">
      <formula>1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2026-10-20T15:39:10Z</dcterms:created>
  <dcterms:modified xsi:type="dcterms:W3CDTF">2026-10-20T15:39:10Z</dcterms:modified>
</cp:coreProperties>
</file>