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aa3e7daad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3462870cb54006"/>
    <x:sheet xmlns:r="http://schemas.openxmlformats.org/officeDocument/2006/relationships" name="Expense Register" sheetId="2" r:id="Rcdcb4342f74d4471"/>
    <x:sheet xmlns:r="http://schemas.openxmlformats.org/officeDocument/2006/relationships" name="Policy" sheetId="3" r:id="R0b542f703aea4d9b"/>
    <x:sheet xmlns:r="http://schemas.openxmlformats.org/officeDocument/2006/relationships" name="Reconciliation" sheetId="4" r:id="Re1b733bdd43e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"/>
    <x:numFmt numFmtId="201" formatCode="yyyy-mm-dd"/>
    <x:numFmt numFmtId="202" formatCode="$#,##0.00;($#,##0.00);-"/>
    <x:numFmt numFmtId="203" formatCode="0"/>
    <x:numFmt numFmtId="204" formatCode="$#,##0"/>
  </x:numFmts>
  <x:fonts count="5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2F75B5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03c5f66d54010" /><Relationship Type="http://schemas.openxmlformats.org/officeDocument/2006/relationships/theme" Target="/xl/theme/theme1.xml" Id="R1f9f9c1b8e904c4c" /><Relationship Type="http://schemas.openxmlformats.org/officeDocument/2006/relationships/sharedStrings" Target="/xl/sharedStrings.xml" Id="Rf4b97b72ef234798" /><Relationship Type="http://schemas.openxmlformats.org/officeDocument/2006/relationships/worksheet" Target="/xl/worksheets/sheet1.xml" Id="R733462870cb54006" /><Relationship Type="http://schemas.openxmlformats.org/officeDocument/2006/relationships/worksheet" Target="/xl/worksheets/sheet2.xml" Id="Rcdcb4342f74d4471" /><Relationship Type="http://schemas.openxmlformats.org/officeDocument/2006/relationships/worksheet" Target="/xl/worksheets/sheet3.xml" Id="R0b542f703aea4d9b" /><Relationship Type="http://schemas.openxmlformats.org/officeDocument/2006/relationships/worksheet" Target="/xl/worksheets/sheet4.xml" Id="Re1b733bdd43e4e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747bd4cf0d4c8c" /><Relationship Type="http://schemas.openxmlformats.org/officeDocument/2006/relationships/chart" Target="/xl/drawings/charts/chart2.xml" Id="R8918474c6dfe42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Spend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Spend</c:v>
          </c:tx>
          <c:invertIfNegative val="0"/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'Dashboard'!$B$12:$B$15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Expenses by review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invertIfNegative val="0"/>
          <c:cat>
            <c:strRef>
              <c:f>'Dashboard'!$D$12:$D$16</c:f>
              <c:strCache>
                <c:ptCount val="0"/>
              </c:strCache>
            </c:strRef>
          </c:cat>
          <c:val>
            <c:numRef>
              <c:f>'Dashboard'!$E$12:$E$16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747bd4cf0d4c8c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18474c6dfe42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blExpenseRegister" displayName="tblExpenseRegister" ref="A1:O49" headerRowCount="1" totalsRowCount="0" totalsRowShown="0">
  <x:autoFilter ref="A1:O49"/>
  <x:tableColumns count="15">
    <x:tableColumn id="1" name="Expense ID"/>
    <x:tableColumn id="2" name="Date"/>
    <x:tableColumn id="3" name="Employee"/>
    <x:tableColumn id="4" name="Department"/>
    <x:tableColumn id="5" name="Category"/>
    <x:tableColumn id="6" name="Vendor"/>
    <x:tableColumn id="7" name="Amount"/>
    <x:tableColumn id="8" name="Receipt Status"/>
    <x:tableColumn id="9" name="Approval Status"/>
    <x:tableColumn id="10" name="Card Amount"/>
    <x:tableColumn id="11" name="Ledger Amount"/>
    <x:tableColumn id="12" name="Policy Limit"/>
    <x:tableColumn id="13" name="Recon Variance"/>
    <x:tableColumn id="14" name="Policy Excess"/>
    <x:tableColumn id="15" name="Exce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ExpensePolicy" displayName="tblExpensePolicy" ref="A1:D7" headerRowCount="1" totalsRowCount="0" totalsRowShown="0">
  <x:autoFilter ref="A1:D7"/>
  <x:tableColumns count="4">
    <x:tableColumn id="1" name="Category"/>
    <x:tableColumn id="2" name="Per-item Limit"/>
    <x:tableColumn id="3" name="Receipt Threshold"/>
    <x:tableColumn id="4" name="Policy 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484553ac0040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d5147d79d64c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647fb040b3443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4" max="4" width="20" hidden="0" customWidth="1"/>
    <x:col min="5" max="5" width="12" hidden="0" customWidth="1"/>
  </x:cols>
  <x:sheetData>
    <x:row r="2">
      <x:c r="A2" s="18" t="str">
        <x:v>Expense approval and reconciliation overview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6" t="str">
        <x:v>Metric</x:v>
      </x:c>
      <x:c r="B4" s="6" t="str">
        <x:v>Value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Expense records</x:v>
      </x:c>
      <x:c r="B5" s="20" t="n">
        <x:f>COUNT('Expense Register'!G2:G49)</x:f>
        <x:v>48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Total spend</x:v>
      </x:c>
      <x:c r="B6" s="9" t="n">
        <x:f>SUM('Expense Register'!$G$2,'Expense Register'!$G$3,'Expense Register'!$G$4,'Expense Register'!$G$5,'Expense Register'!$G$6,'Expense Register'!$G$7,'Expense Register'!$G$8,'Expense Register'!$G$9,'Expense Register'!$G$10,'Expense Register'!$G$11,'Expense Register'!$G$12,'Expense Register'!$G$13,'Expense Register'!$G$14,'Expense Register'!$G$15,'Expense Register'!$G$16,'Expense Register'!$G$17,'Expense Register'!$G$18,'Expense Register'!$G$19,'Expense Register'!$G$20,'Expense Register'!$G$21,'Expense Register'!$G$22,'Expense Register'!$G$23,'Expense Register'!$G$24,'Expense Register'!$G$25,'Expense Register'!$G$26,'Expense Register'!$G$27,'Expense Register'!$G$28,'Expense Register'!$G$29,'Expense Register'!$G$30,'Expense Register'!$G$31,'Expense Register'!$G$32,'Expense Register'!$G$33,'Expense Register'!$G$34,'Expense Register'!$G$35,'Expense Register'!$G$36,'Expense Register'!$G$37,'Expense Register'!$G$38,'Expense Register'!$G$39,'Expense Register'!$G$40,'Expense Register'!$G$41,'Expense Register'!$G$42,'Expense Register'!$G$43,'Expense Register'!$G$44,'Expense Register'!$G$45,'Expense Register'!$G$46,'Expense Register'!$G$47,'Expense Register'!$G$48,'Expense Register'!$G$49)</x:f>
        <x:v>36161.25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Open exceptions</x:v>
      </x:c>
      <x:c r="B7" s="20" t="n">
        <x:f>SUM(7,31,1,5)</x:f>
        <x:v>44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Reconciliation variance</x:v>
      </x:c>
      <x:c r="B8" s="9" t="n">
        <x:f>SUM('Expense Register'!$M$2,'Expense Register'!$M$3,'Expense Register'!$M$4,'Expense Register'!$M$5,'Expense Register'!$M$6,'Expense Register'!$M$7,'Expense Register'!$M$8,'Expense Register'!$M$9,'Expense Register'!$M$10,'Expense Register'!$M$11,'Expense Register'!$M$12,'Expense Register'!$M$13,'Expense Register'!$M$14,'Expense Register'!$M$15,'Expense Register'!$M$16,'Expense Register'!$M$17,'Expense Register'!$M$18,'Expense Register'!$M$19,'Expense Register'!$M$20,'Expense Register'!$M$21,'Expense Register'!$M$22,'Expense Register'!$M$23,'Expense Register'!$M$24,'Expense Register'!$M$25,'Expense Register'!$M$26,'Expense Register'!$M$27,'Expense Register'!$M$28,'Expense Register'!$M$29,'Expense Register'!$M$30,'Expense Register'!$M$31,'Expense Register'!$M$32,'Expense Register'!$M$33,'Expense Register'!$M$34,'Expense Register'!$M$35,'Expense Register'!$M$36,'Expense Register'!$M$37,'Expense Register'!$M$38,'Expense Register'!$M$39,'Expense Register'!$M$40,'Expense Register'!$M$41,'Expense Register'!$M$42,'Expense Register'!$M$43,'Expense Register'!$M$44,'Expense Register'!$M$45,'Expense Register'!$M$46,'Expense Register'!$M$47,'Expense Register'!$M$48,'Expense Register'!$M$49)</x:f>
        <x:v>48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6" t="str">
        <x:v>Department</x:v>
      </x:c>
      <x:c r="B11" s="6" t="str">
        <x:v>Spend</x:v>
      </x:c>
      <x:c r="C11" s="2"/>
      <x:c r="D11" s="6" t="str">
        <x:v>Exception</x:v>
      </x:c>
      <x:c r="E11" s="6" t="str">
        <x:v>Count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Sales</x:v>
      </x:c>
      <x:c r="B12" s="21" t="n">
        <x:f>SUM('Expense Register'!$G$2,'Expense Register'!$G$6,'Expense Register'!$G$10,'Expense Register'!$G$14,'Expense Register'!$G$18,'Expense Register'!$G$22,'Expense Register'!$G$26,'Expense Register'!$G$30,'Expense Register'!$G$34,'Expense Register'!$G$38,'Expense Register'!$G$42,'Expense Register'!$G$46)</x:f>
        <x:v>9326</x:v>
      </x:c>
      <x:c r="C12" s="2"/>
      <x:c r="D12" s="2" t="str">
        <x:v>RECON</x:v>
      </x:c>
      <x:c r="E12" s="2" t="n">
        <x:v>7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Engineering</x:v>
      </x:c>
      <x:c r="B13" s="21" t="n">
        <x:f>SUM('Expense Register'!$G$3,'Expense Register'!$G$7,'Expense Register'!$G$11,'Expense Register'!$G$15,'Expense Register'!$G$19,'Expense Register'!$G$23,'Expense Register'!$G$27,'Expense Register'!$G$31,'Expense Register'!$G$35,'Expense Register'!$G$39,'Expense Register'!$G$43,'Expense Register'!$G$47)</x:f>
        <x:v>9589.5</x:v>
      </x:c>
      <x:c r="C13" s="2"/>
      <x:c r="D13" s="2" t="str">
        <x:v>OVER LIMIT</x:v>
      </x:c>
      <x:c r="E13" s="2" t="n">
        <x:v>31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Operations</x:v>
      </x:c>
      <x:c r="B14" s="21" t="n">
        <x:f>SUM('Expense Register'!$G$4,'Expense Register'!$G$8,'Expense Register'!$G$12,'Expense Register'!$G$16,'Expense Register'!$G$20,'Expense Register'!$G$24,'Expense Register'!$G$28,'Expense Register'!$G$32,'Expense Register'!$G$36,'Expense Register'!$G$40,'Expense Register'!$G$44,'Expense Register'!$G$48)</x:f>
        <x:v>7975.5</x:v>
      </x:c>
      <x:c r="C14" s="2"/>
      <x:c r="D14" s="2" t="str">
        <x:v>MISSING RECEIPT</x:v>
      </x:c>
      <x:c r="E14" s="2" t="n">
        <x:v>1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Corporate</x:v>
      </x:c>
      <x:c r="B15" s="21" t="n">
        <x:f>SUM('Expense Register'!$G$5,'Expense Register'!$G$9,'Expense Register'!$G$13,'Expense Register'!$G$17,'Expense Register'!$G$21,'Expense Register'!$G$25,'Expense Register'!$G$29,'Expense Register'!$G$33,'Expense Register'!$G$37,'Expense Register'!$G$41,'Expense Register'!$G$45,'Expense Register'!$G$49)</x:f>
        <x:v>9270.25</x:v>
      </x:c>
      <x:c r="C15" s="2"/>
      <x:c r="D15" s="2" t="str">
        <x:v>PENDING</x:v>
      </x:c>
      <x:c r="E15" s="2" t="n">
        <x:v>5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 t="str">
        <x:v>CLEAR</x:v>
      </x:c>
      <x:c r="E16" s="2" t="n">
        <x:v>4</x:v>
      </x:c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</x:sheetData>
  <x:pageMargins left="0.7" right="0.7" top="0.75" bottom="0.75" header="0.3" footer="0.3"/>
  <x:drawing xmlns:r="http://schemas.openxmlformats.org/officeDocument/2006/relationships" r:id="Rb7484553ac00408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6" t="str">
        <x:v>Expense ID</x:v>
      </x:c>
      <x:c r="B1" s="6" t="str">
        <x:v>Date</x:v>
      </x:c>
      <x:c r="C1" s="6" t="str">
        <x:v>Employee</x:v>
      </x:c>
      <x:c r="D1" s="6" t="str">
        <x:v>Department</x:v>
      </x:c>
      <x:c r="E1" s="6" t="str">
        <x:v>Category</x:v>
      </x:c>
      <x:c r="F1" s="6" t="str">
        <x:v>Vendor</x:v>
      </x:c>
      <x:c r="G1" s="6" t="str">
        <x:v>Amount</x:v>
      </x:c>
      <x:c r="H1" s="6" t="str">
        <x:v>Receipt Status</x:v>
      </x:c>
      <x:c r="I1" s="6" t="str">
        <x:v>Approval Status</x:v>
      </x:c>
      <x:c r="J1" s="6" t="str">
        <x:v>Card Amount</x:v>
      </x:c>
      <x:c r="K1" s="6" t="str">
        <x:v>Ledger Amount</x:v>
      </x:c>
      <x:c r="L1" s="6" t="str">
        <x:v>Policy Limit</x:v>
      </x:c>
      <x:c r="M1" s="6" t="str">
        <x:v>Recon Variance</x:v>
      </x:c>
      <x:c r="N1" s="6" t="str">
        <x:v>Policy Excess</x:v>
      </x:c>
      <x:c r="O1" s="6" t="str">
        <x:v>Exception</x:v>
      </x:c>
    </x:row>
    <x:row r="2">
      <x:c r="A2" s="2" t="str">
        <x:v>EXP-0001</x:v>
      </x:c>
      <x:c r="B2" s="8" t="d">
        <x:v>2026-01-02T00:00:00.000Z</x:v>
      </x:c>
      <x:c r="C2" s="2" t="str">
        <x:v>Avery Chen</x:v>
      </x:c>
      <x:c r="D2" s="2" t="str">
        <x:v>Sales</x:v>
      </x:c>
      <x:c r="E2" s="2" t="str">
        <x:v>Airfare</x:v>
      </x:c>
      <x:c r="F2" s="2" t="str">
        <x:v>Delta Air Lines</x:v>
      </x:c>
      <x:c r="G2" s="9" t="n">
        <x:v>1375</x:v>
      </x:c>
      <x:c r="H2" s="9" t="str">
        <x:v>Missing</x:v>
      </x:c>
      <x:c r="I2" s="9" t="str">
        <x:v>Rejected</x:v>
      </x:c>
      <x:c r="J2" s="9" t="n">
        <x:v>1387.5</x:v>
      </x:c>
      <x:c r="K2" s="9" t="n">
        <x:v>1375</x:v>
      </x:c>
      <x:c r="L2" s="9" t="n">
        <x:f>'Policy'!$B$2</x:f>
        <x:v>1200</x:v>
      </x:c>
      <x:c r="M2" s="9" t="n">
        <x:f>J2-K2</x:f>
        <x:v>12.5</x:v>
      </x:c>
      <x:c r="N2" s="9" t="n">
        <x:f>MAX(0,G2-L2)</x:f>
        <x:v>175</x:v>
      </x:c>
      <x:c r="O2" s="2" t="str">
        <x:f>IF(ABS(M2)&gt;0.01,"RECON",IF(N2&gt;0,"OVER LIMIT",IF(H2="Missing","MISSING RECEIPT",IF(I2&lt;&gt;"Approved","PENDING","CLEAR"))))</x:f>
        <x:v>RECON</x:v>
      </x:c>
    </x:row>
    <x:row r="3">
      <x:c r="A3" s="2" t="str">
        <x:v>EXP-0002</x:v>
      </x:c>
      <x:c r="B3" s="8" t="d">
        <x:v>2026-02-05T00:00:00.000Z</x:v>
      </x:c>
      <x:c r="C3" s="2" t="str">
        <x:v>Jordan Lee</x:v>
      </x:c>
      <x:c r="D3" s="2" t="str">
        <x:v>Engineering</x:v>
      </x:c>
      <x:c r="E3" s="2" t="str">
        <x:v>Lodging</x:v>
      </x:c>
      <x:c r="F3" s="2" t="str">
        <x:v>Marriott</x:v>
      </x:c>
      <x:c r="G3" s="9" t="n">
        <x:v>200.25</x:v>
      </x:c>
      <x:c r="H3" s="9" t="str">
        <x:v>Attached</x:v>
      </x:c>
      <x:c r="I3" s="9" t="str">
        <x:v>Approved</x:v>
      </x:c>
      <x:c r="J3" s="9" t="n">
        <x:v>200.25</x:v>
      </x:c>
      <x:c r="K3" s="9" t="n">
        <x:v>200.25</x:v>
      </x:c>
      <x:c r="L3" s="9" t="n">
        <x:f>'Policy'!$B$3</x:f>
        <x:v>350</x:v>
      </x:c>
      <x:c r="M3" s="9" t="n">
        <x:f>J3-K3</x:f>
        <x:v>0</x:v>
      </x:c>
      <x:c r="N3" s="9" t="n">
        <x:f>MAX(0,G3-L3)</x:f>
        <x:v>0</x:v>
      </x:c>
      <x:c r="O3" s="2" t="str">
        <x:f>IF(ABS(M3)&gt;0.01,"RECON",IF(N3&gt;0,"OVER LIMIT",IF(H3="Missing","MISSING RECEIPT",IF(I3&lt;&gt;"Approved","PENDING","CLEAR"))))</x:f>
        <x:v>CLEAR</x:v>
      </x:c>
    </x:row>
    <x:row r="4">
      <x:c r="A4" s="2" t="str">
        <x:v>EXP-0003</x:v>
      </x:c>
      <x:c r="B4" s="8" t="d">
        <x:v>2026-03-08T00:00:00.000Z</x:v>
      </x:c>
      <x:c r="C4" s="2" t="str">
        <x:v>Morgan Patel</x:v>
      </x:c>
      <x:c r="D4" s="2" t="str">
        <x:v>Operations</x:v>
      </x:c>
      <x:c r="E4" s="2" t="str">
        <x:v>Meals</x:v>
      </x:c>
      <x:c r="F4" s="2" t="str">
        <x:v>City Bistro</x:v>
      </x:c>
      <x:c r="G4" s="9" t="n">
        <x:v>355.5</x:v>
      </x:c>
      <x:c r="H4" s="9" t="str">
        <x:v>Attached</x:v>
      </x:c>
      <x:c r="I4" s="9" t="str">
        <x:v>Approved</x:v>
      </x:c>
      <x:c r="J4" s="9" t="n">
        <x:v>355.5</x:v>
      </x:c>
      <x:c r="K4" s="9" t="n">
        <x:v>355.5</x:v>
      </x:c>
      <x:c r="L4" s="9" t="n">
        <x:f>'Policy'!$B$4</x:f>
        <x:v>90</x:v>
      </x:c>
      <x:c r="M4" s="9" t="n">
        <x:f>J4-K4</x:f>
        <x:v>0</x:v>
      </x:c>
      <x:c r="N4" s="9" t="n">
        <x:f>MAX(0,G4-L4)</x:f>
        <x:v>265.5</x:v>
      </x:c>
      <x:c r="O4" s="2" t="str">
        <x:f>IF(ABS(M4)&gt;0.01,"RECON",IF(N4&gt;0,"OVER LIMIT",IF(H4="Missing","MISSING RECEIPT",IF(I4&lt;&gt;"Approved","PENDING","CLEAR"))))</x:f>
        <x:v>OVER LIMIT</x:v>
      </x:c>
    </x:row>
    <x:row r="5">
      <x:c r="A5" s="2" t="str">
        <x:v>EXP-0004</x:v>
      </x:c>
      <x:c r="B5" s="8" t="d">
        <x:v>2026-04-11T00:00:00.000Z</x:v>
      </x:c>
      <x:c r="C5" s="2" t="str">
        <x:v>Riley Smith</x:v>
      </x:c>
      <x:c r="D5" s="2" t="str">
        <x:v>Corporate</x:v>
      </x:c>
      <x:c r="E5" s="2" t="str">
        <x:v>Ground Transport</x:v>
      </x:c>
      <x:c r="F5" s="2" t="str">
        <x:v>Lyft</x:v>
      </x:c>
      <x:c r="G5" s="9" t="n">
        <x:v>510.75</x:v>
      </x:c>
      <x:c r="H5" s="9" t="str">
        <x:v>Attached</x:v>
      </x:c>
      <x:c r="I5" s="9" t="str">
        <x:v>Approved</x:v>
      </x:c>
      <x:c r="J5" s="9" t="n">
        <x:v>510.75</x:v>
      </x:c>
      <x:c r="K5" s="9" t="n">
        <x:v>510.75</x:v>
      </x:c>
      <x:c r="L5" s="9" t="n">
        <x:f>'Policy'!$B$5</x:f>
        <x:v>180</x:v>
      </x:c>
      <x:c r="M5" s="9" t="n">
        <x:f>J5-K5</x:f>
        <x:v>0</x:v>
      </x:c>
      <x:c r="N5" s="9" t="n">
        <x:f>MAX(0,G5-L5)</x:f>
        <x:v>330.75</x:v>
      </x:c>
      <x:c r="O5" s="2" t="str">
        <x:f>IF(ABS(M5)&gt;0.01,"RECON",IF(N5&gt;0,"OVER LIMIT",IF(H5="Missing","MISSING RECEIPT",IF(I5&lt;&gt;"Approved","PENDING","CLEAR"))))</x:f>
        <x:v>OVER LIMIT</x:v>
      </x:c>
    </x:row>
    <x:row r="6">
      <x:c r="A6" s="2" t="str">
        <x:v>EXP-0005</x:v>
      </x:c>
      <x:c r="B6" s="8" t="d">
        <x:v>2026-05-14T00:00:00.000Z</x:v>
      </x:c>
      <x:c r="C6" s="2" t="str">
        <x:v>Taylor Brooks</x:v>
      </x:c>
      <x:c r="D6" s="2" t="str">
        <x:v>Sales</x:v>
      </x:c>
      <x:c r="E6" s="2" t="str">
        <x:v>Software</x:v>
      </x:c>
      <x:c r="F6" s="2" t="str">
        <x:v>CloudWorks</x:v>
      </x:c>
      <x:c r="G6" s="9" t="n">
        <x:v>666</x:v>
      </x:c>
      <x:c r="H6" s="9" t="str">
        <x:v>Attached</x:v>
      </x:c>
      <x:c r="I6" s="9" t="str">
        <x:v>Pending</x:v>
      </x:c>
      <x:c r="J6" s="9" t="n">
        <x:v>666</x:v>
      </x:c>
      <x:c r="K6" s="9" t="n">
        <x:v>666</x:v>
      </x:c>
      <x:c r="L6" s="9" t="n">
        <x:f>'Policy'!$B$6</x:f>
        <x:v>500</x:v>
      </x:c>
      <x:c r="M6" s="9" t="n">
        <x:f>J6-K6</x:f>
        <x:v>0</x:v>
      </x:c>
      <x:c r="N6" s="9" t="n">
        <x:f>MAX(0,G6-L6)</x:f>
        <x:v>166</x:v>
      </x:c>
      <x:c r="O6" s="2" t="str">
        <x:f>IF(ABS(M6)&gt;0.01,"RECON",IF(N6&gt;0,"OVER LIMIT",IF(H6="Missing","MISSING RECEIPT",IF(I6&lt;&gt;"Approved","PENDING","CLEAR"))))</x:f>
        <x:v>OVER LIMIT</x:v>
      </x:c>
    </x:row>
    <x:row r="7">
      <x:c r="A7" s="2" t="str">
        <x:v>EXP-0006</x:v>
      </x:c>
      <x:c r="B7" s="8" t="d">
        <x:v>2026-06-17T00:00:00.000Z</x:v>
      </x:c>
      <x:c r="C7" s="2" t="str">
        <x:v>Casey Nguyen</x:v>
      </x:c>
      <x:c r="D7" s="2" t="str">
        <x:v>Engineering</x:v>
      </x:c>
      <x:c r="E7" s="2" t="str">
        <x:v>Supplies</x:v>
      </x:c>
      <x:c r="F7" s="2" t="str">
        <x:v>Office Depot</x:v>
      </x:c>
      <x:c r="G7" s="9" t="n">
        <x:v>730</x:v>
      </x:c>
      <x:c r="H7" s="9" t="str">
        <x:v>Attached</x:v>
      </x:c>
      <x:c r="I7" s="9" t="str">
        <x:v>Approved</x:v>
      </x:c>
      <x:c r="J7" s="9" t="n">
        <x:v>730</x:v>
      </x:c>
      <x:c r="K7" s="9" t="n">
        <x:v>730</x:v>
      </x:c>
      <x:c r="L7" s="9" t="n">
        <x:f>'Policy'!$B$7</x:f>
        <x:v>250</x:v>
      </x:c>
      <x:c r="M7" s="9" t="n">
        <x:f>J7-K7</x:f>
        <x:v>0</x:v>
      </x:c>
      <x:c r="N7" s="9" t="n">
        <x:f>MAX(0,G7-L7)</x:f>
        <x:v>480</x:v>
      </x:c>
      <x:c r="O7" s="2" t="str">
        <x:f>IF(ABS(M7)&gt;0.01,"RECON",IF(N7&gt;0,"OVER LIMIT",IF(H7="Missing","MISSING RECEIPT",IF(I7&lt;&gt;"Approved","PENDING","CLEAR"))))</x:f>
        <x:v>OVER LIMIT</x:v>
      </x:c>
    </x:row>
    <x:row r="8">
      <x:c r="A8" s="2" t="str">
        <x:v>EXP-0007</x:v>
      </x:c>
      <x:c r="B8" s="8" t="d">
        <x:v>2026-01-20T00:00:00.000Z</x:v>
      </x:c>
      <x:c r="C8" s="2" t="str">
        <x:v>Sam Rivera</x:v>
      </x:c>
      <x:c r="D8" s="2" t="str">
        <x:v>Operations</x:v>
      </x:c>
      <x:c r="E8" s="2" t="str">
        <x:v>Airfare</x:v>
      </x:c>
      <x:c r="F8" s="2" t="str">
        <x:v>Delta Air Lines</x:v>
      </x:c>
      <x:c r="G8" s="9" t="n">
        <x:v>885.25</x:v>
      </x:c>
      <x:c r="H8" s="9" t="str">
        <x:v>Attached</x:v>
      </x:c>
      <x:c r="I8" s="9" t="str">
        <x:v>Approved</x:v>
      </x:c>
      <x:c r="J8" s="9" t="n">
        <x:v>885.25</x:v>
      </x:c>
      <x:c r="K8" s="9" t="n">
        <x:v>885.25</x:v>
      </x:c>
      <x:c r="L8" s="9" t="n">
        <x:f>'Policy'!$B$2</x:f>
        <x:v>1200</x:v>
      </x:c>
      <x:c r="M8" s="9" t="n">
        <x:f>J8-K8</x:f>
        <x:v>0</x:v>
      </x:c>
      <x:c r="N8" s="9" t="n">
        <x:f>MAX(0,G8-L8)</x:f>
        <x:v>0</x:v>
      </x:c>
      <x:c r="O8" s="2" t="str">
        <x:f>IF(ABS(M8)&gt;0.01,"RECON",IF(N8&gt;0,"OVER LIMIT",IF(H8="Missing","MISSING RECEIPT",IF(I8&lt;&gt;"Approved","PENDING","CLEAR"))))</x:f>
        <x:v>CLEAR</x:v>
      </x:c>
    </x:row>
    <x:row r="9">
      <x:c r="A9" s="2" t="str">
        <x:v>EXP-0008</x:v>
      </x:c>
      <x:c r="B9" s="8" t="d">
        <x:v>2026-02-23T00:00:00.000Z</x:v>
      </x:c>
      <x:c r="C9" s="2" t="str">
        <x:v>Jamie Wilson</x:v>
      </x:c>
      <x:c r="D9" s="2" t="str">
        <x:v>Corporate</x:v>
      </x:c>
      <x:c r="E9" s="2" t="str">
        <x:v>Lodging</x:v>
      </x:c>
      <x:c r="F9" s="2" t="str">
        <x:v>Marriott</x:v>
      </x:c>
      <x:c r="G9" s="9" t="n">
        <x:v>1040.5</x:v>
      </x:c>
      <x:c r="H9" s="9" t="str">
        <x:v>Attached</x:v>
      </x:c>
      <x:c r="I9" s="9" t="str">
        <x:v>Approved</x:v>
      </x:c>
      <x:c r="J9" s="9" t="n">
        <x:v>1040.5</x:v>
      </x:c>
      <x:c r="K9" s="9" t="n">
        <x:v>1040.5</x:v>
      </x:c>
      <x:c r="L9" s="9" t="n">
        <x:f>'Policy'!$B$3</x:f>
        <x:v>350</x:v>
      </x:c>
      <x:c r="M9" s="9" t="n">
        <x:f>J9-K9</x:f>
        <x:v>0</x:v>
      </x:c>
      <x:c r="N9" s="9" t="n">
        <x:f>MAX(0,G9-L9)</x:f>
        <x:v>690.5</x:v>
      </x:c>
      <x:c r="O9" s="2" t="str">
        <x:f>IF(ABS(M9)&gt;0.01,"RECON",IF(N9&gt;0,"OVER LIMIT",IF(H9="Missing","MISSING RECEIPT",IF(I9&lt;&gt;"Approved","PENDING","CLEAR"))))</x:f>
        <x:v>OVER LIMIT</x:v>
      </x:c>
    </x:row>
    <x:row r="10">
      <x:c r="A10" s="2" t="str">
        <x:v>EXP-0009</x:v>
      </x:c>
      <x:c r="B10" s="8" t="d">
        <x:v>2026-03-26T00:00:00.000Z</x:v>
      </x:c>
      <x:c r="C10" s="2" t="str">
        <x:v>Avery Chen</x:v>
      </x:c>
      <x:c r="D10" s="2" t="str">
        <x:v>Sales</x:v>
      </x:c>
      <x:c r="E10" s="2" t="str">
        <x:v>Meals</x:v>
      </x:c>
      <x:c r="F10" s="2" t="str">
        <x:v>City Bistro</x:v>
      </x:c>
      <x:c r="G10" s="9" t="n">
        <x:v>1195.75</x:v>
      </x:c>
      <x:c r="H10" s="9" t="str">
        <x:v>Attached</x:v>
      </x:c>
      <x:c r="I10" s="9" t="str">
        <x:v>Pending</x:v>
      </x:c>
      <x:c r="J10" s="9" t="n">
        <x:v>1195.75</x:v>
      </x:c>
      <x:c r="K10" s="9" t="n">
        <x:v>1195.75</x:v>
      </x:c>
      <x:c r="L10" s="9" t="n">
        <x:f>'Policy'!$B$4</x:f>
        <x:v>90</x:v>
      </x:c>
      <x:c r="M10" s="9" t="n">
        <x:f>J10-K10</x:f>
        <x:v>0</x:v>
      </x:c>
      <x:c r="N10" s="9" t="n">
        <x:f>MAX(0,G10-L10)</x:f>
        <x:v>1105.75</x:v>
      </x:c>
      <x:c r="O10" s="2" t="str">
        <x:f>IF(ABS(M10)&gt;0.01,"RECON",IF(N10&gt;0,"OVER LIMIT",IF(H10="Missing","MISSING RECEIPT",IF(I10&lt;&gt;"Approved","PENDING","CLEAR"))))</x:f>
        <x:v>OVER LIMIT</x:v>
      </x:c>
    </x:row>
    <x:row r="11">
      <x:c r="A11" s="2" t="str">
        <x:v>EXP-0010</x:v>
      </x:c>
      <x:c r="B11" s="8" t="d">
        <x:v>2026-04-04T00:00:00.000Z</x:v>
      </x:c>
      <x:c r="C11" s="2" t="str">
        <x:v>Jordan Lee</x:v>
      </x:c>
      <x:c r="D11" s="2" t="str">
        <x:v>Engineering</x:v>
      </x:c>
      <x:c r="E11" s="2" t="str">
        <x:v>Ground Transport</x:v>
      </x:c>
      <x:c r="F11" s="2" t="str">
        <x:v>Lyft</x:v>
      </x:c>
      <x:c r="G11" s="9" t="n">
        <x:v>1351</x:v>
      </x:c>
      <x:c r="H11" s="9" t="str">
        <x:v>Missing</x:v>
      </x:c>
      <x:c r="I11" s="9" t="str">
        <x:v>Approved</x:v>
      </x:c>
      <x:c r="J11" s="9" t="n">
        <x:v>1351</x:v>
      </x:c>
      <x:c r="K11" s="9" t="n">
        <x:v>1351</x:v>
      </x:c>
      <x:c r="L11" s="9" t="n">
        <x:f>'Policy'!$B$5</x:f>
        <x:v>180</x:v>
      </x:c>
      <x:c r="M11" s="9" t="n">
        <x:f>J11-K11</x:f>
        <x:v>0</x:v>
      </x:c>
      <x:c r="N11" s="9" t="n">
        <x:f>MAX(0,G11-L11)</x:f>
        <x:v>1171</x:v>
      </x:c>
      <x:c r="O11" s="2" t="str">
        <x:f>IF(ABS(M11)&gt;0.01,"RECON",IF(N11&gt;0,"OVER LIMIT",IF(H11="Missing","MISSING RECEIPT",IF(I11&lt;&gt;"Approved","PENDING","CLEAR"))))</x:f>
        <x:v>OVER LIMIT</x:v>
      </x:c>
    </x:row>
    <x:row r="12">
      <x:c r="A12" s="2" t="str">
        <x:v>EXP-0011</x:v>
      </x:c>
      <x:c r="B12" s="8" t="d">
        <x:v>2026-05-07T00:00:00.000Z</x:v>
      </x:c>
      <x:c r="C12" s="2" t="str">
        <x:v>Morgan Patel</x:v>
      </x:c>
      <x:c r="D12" s="2" t="str">
        <x:v>Operations</x:v>
      </x:c>
      <x:c r="E12" s="2" t="str">
        <x:v>Software</x:v>
      </x:c>
      <x:c r="F12" s="2" t="str">
        <x:v>CloudWorks</x:v>
      </x:c>
      <x:c r="G12" s="9" t="n">
        <x:v>90</x:v>
      </x:c>
      <x:c r="H12" s="9" t="str">
        <x:v>Attached</x:v>
      </x:c>
      <x:c r="I12" s="9" t="str">
        <x:v>Rejected</x:v>
      </x:c>
      <x:c r="J12" s="9" t="n">
        <x:v>90</x:v>
      </x:c>
      <x:c r="K12" s="9" t="n">
        <x:v>90</x:v>
      </x:c>
      <x:c r="L12" s="9" t="n">
        <x:f>'Policy'!$B$6</x:f>
        <x:v>500</x:v>
      </x:c>
      <x:c r="M12" s="9" t="n">
        <x:f>J12-K12</x:f>
        <x:v>0</x:v>
      </x:c>
      <x:c r="N12" s="9" t="n">
        <x:f>MAX(0,G12-L12)</x:f>
        <x:v>0</x:v>
      </x:c>
      <x:c r="O12" s="2" t="str">
        <x:f>IF(ABS(M12)&gt;0.01,"RECON",IF(N12&gt;0,"OVER LIMIT",IF(H12="Missing","MISSING RECEIPT",IF(I12&lt;&gt;"Approved","PENDING","CLEAR"))))</x:f>
        <x:v>PENDING</x:v>
      </x:c>
    </x:row>
    <x:row r="13">
      <x:c r="A13" s="2" t="str">
        <x:v>EXP-0012</x:v>
      </x:c>
      <x:c r="B13" s="8" t="d">
        <x:v>2026-06-10T00:00:00.000Z</x:v>
      </x:c>
      <x:c r="C13" s="2" t="str">
        <x:v>Riley Smith</x:v>
      </x:c>
      <x:c r="D13" s="2" t="str">
        <x:v>Corporate</x:v>
      </x:c>
      <x:c r="E13" s="2" t="str">
        <x:v>Supplies</x:v>
      </x:c>
      <x:c r="F13" s="2" t="str">
        <x:v>Office Depot</x:v>
      </x:c>
      <x:c r="G13" s="9" t="n">
        <x:v>245.25</x:v>
      </x:c>
      <x:c r="H13" s="9" t="str">
        <x:v>Attached</x:v>
      </x:c>
      <x:c r="I13" s="9" t="str">
        <x:v>Approved</x:v>
      </x:c>
      <x:c r="J13" s="9" t="n">
        <x:v>257.75</x:v>
      </x:c>
      <x:c r="K13" s="9" t="n">
        <x:v>245.25</x:v>
      </x:c>
      <x:c r="L13" s="9" t="n">
        <x:f>'Policy'!$B$7</x:f>
        <x:v>250</x:v>
      </x:c>
      <x:c r="M13" s="9" t="n">
        <x:f>J13-K13</x:f>
        <x:v>12.5</x:v>
      </x:c>
      <x:c r="N13" s="9" t="n">
        <x:f>MAX(0,G13-L13)</x:f>
        <x:v>0</x:v>
      </x:c>
      <x:c r="O13" s="2" t="str">
        <x:f>IF(ABS(M13)&gt;0.01,"RECON",IF(N13&gt;0,"OVER LIMIT",IF(H13="Missing","MISSING RECEIPT",IF(I13&lt;&gt;"Approved","PENDING","CLEAR"))))</x:f>
        <x:v>RECON</x:v>
      </x:c>
    </x:row>
    <x:row r="14">
      <x:c r="A14" s="2" t="str">
        <x:v>EXP-0013</x:v>
      </x:c>
      <x:c r="B14" s="8" t="d">
        <x:v>2026-01-13T00:00:00.000Z</x:v>
      </x:c>
      <x:c r="C14" s="2" t="str">
        <x:v>Taylor Brooks</x:v>
      </x:c>
      <x:c r="D14" s="2" t="str">
        <x:v>Sales</x:v>
      </x:c>
      <x:c r="E14" s="2" t="str">
        <x:v>Airfare</x:v>
      </x:c>
      <x:c r="F14" s="2" t="str">
        <x:v>Delta Air Lines</x:v>
      </x:c>
      <x:c r="G14" s="9" t="n">
        <x:v>400.5</x:v>
      </x:c>
      <x:c r="H14" s="9" t="str">
        <x:v>Attached</x:v>
      </x:c>
      <x:c r="I14" s="9" t="str">
        <x:v>Pending</x:v>
      </x:c>
      <x:c r="J14" s="9" t="n">
        <x:v>400.5</x:v>
      </x:c>
      <x:c r="K14" s="9" t="n">
        <x:v>400.5</x:v>
      </x:c>
      <x:c r="L14" s="9" t="n">
        <x:f>'Policy'!$B$2</x:f>
        <x:v>1200</x:v>
      </x:c>
      <x:c r="M14" s="9" t="n">
        <x:f>J14-K14</x:f>
        <x:v>0</x:v>
      </x:c>
      <x:c r="N14" s="9" t="n">
        <x:f>MAX(0,G14-L14)</x:f>
        <x:v>0</x:v>
      </x:c>
      <x:c r="O14" s="2" t="str">
        <x:f>IF(ABS(M14)&gt;0.01,"RECON",IF(N14&gt;0,"OVER LIMIT",IF(H14="Missing","MISSING RECEIPT",IF(I14&lt;&gt;"Approved","PENDING","CLEAR"))))</x:f>
        <x:v>PENDING</x:v>
      </x:c>
    </x:row>
    <x:row r="15">
      <x:c r="A15" s="2" t="str">
        <x:v>EXP-0014</x:v>
      </x:c>
      <x:c r="B15" s="8" t="d">
        <x:v>2026-02-16T00:00:00.000Z</x:v>
      </x:c>
      <x:c r="C15" s="2" t="str">
        <x:v>Casey Nguyen</x:v>
      </x:c>
      <x:c r="D15" s="2" t="str">
        <x:v>Engineering</x:v>
      </x:c>
      <x:c r="E15" s="2" t="str">
        <x:v>Lodging</x:v>
      </x:c>
      <x:c r="F15" s="2" t="str">
        <x:v>Marriott</x:v>
      </x:c>
      <x:c r="G15" s="9" t="n">
        <x:v>560</x:v>
      </x:c>
      <x:c r="H15" s="9" t="str">
        <x:v>Attached</x:v>
      </x:c>
      <x:c r="I15" s="9" t="str">
        <x:v>Approved</x:v>
      </x:c>
      <x:c r="J15" s="9" t="n">
        <x:v>560</x:v>
      </x:c>
      <x:c r="K15" s="9" t="n">
        <x:v>560</x:v>
      </x:c>
      <x:c r="L15" s="9" t="n">
        <x:f>'Policy'!$B$3</x:f>
        <x:v>350</x:v>
      </x:c>
      <x:c r="M15" s="9" t="n">
        <x:f>J15-K15</x:f>
        <x:v>0</x:v>
      </x:c>
      <x:c r="N15" s="9" t="n">
        <x:f>MAX(0,G15-L15)</x:f>
        <x:v>210</x:v>
      </x:c>
      <x:c r="O15" s="2" t="str">
        <x:f>IF(ABS(M15)&gt;0.01,"RECON",IF(N15&gt;0,"OVER LIMIT",IF(H15="Missing","MISSING RECEIPT",IF(I15&lt;&gt;"Approved","PENDING","CLEAR"))))</x:f>
        <x:v>OVER LIMIT</x:v>
      </x:c>
    </x:row>
    <x:row r="16">
      <x:c r="A16" s="2" t="str">
        <x:v>EXP-0015</x:v>
      </x:c>
      <x:c r="B16" s="8" t="d">
        <x:v>2026-03-19T00:00:00.000Z</x:v>
      </x:c>
      <x:c r="C16" s="2" t="str">
        <x:v>Sam Rivera</x:v>
      </x:c>
      <x:c r="D16" s="2" t="str">
        <x:v>Operations</x:v>
      </x:c>
      <x:c r="E16" s="2" t="str">
        <x:v>Meals</x:v>
      </x:c>
      <x:c r="F16" s="2" t="str">
        <x:v>City Bistro</x:v>
      </x:c>
      <x:c r="G16" s="9" t="n">
        <x:v>711</x:v>
      </x:c>
      <x:c r="H16" s="9" t="str">
        <x:v>Attached</x:v>
      </x:c>
      <x:c r="I16" s="9" t="str">
        <x:v>Approved</x:v>
      </x:c>
      <x:c r="J16" s="9" t="n">
        <x:v>711</x:v>
      </x:c>
      <x:c r="K16" s="9" t="n">
        <x:v>711</x:v>
      </x:c>
      <x:c r="L16" s="9" t="n">
        <x:f>'Policy'!$B$4</x:f>
        <x:v>90</x:v>
      </x:c>
      <x:c r="M16" s="9" t="n">
        <x:f>J16-K16</x:f>
        <x:v>0</x:v>
      </x:c>
      <x:c r="N16" s="9" t="n">
        <x:f>MAX(0,G16-L16)</x:f>
        <x:v>621</x:v>
      </x:c>
      <x:c r="O16" s="2" t="str">
        <x:f>IF(ABS(M16)&gt;0.01,"RECON",IF(N16&gt;0,"OVER LIMIT",IF(H16="Missing","MISSING RECEIPT",IF(I16&lt;&gt;"Approved","PENDING","CLEAR"))))</x:f>
        <x:v>OVER LIMIT</x:v>
      </x:c>
    </x:row>
    <x:row r="17">
      <x:c r="A17" s="2" t="str">
        <x:v>EXP-0016</x:v>
      </x:c>
      <x:c r="B17" s="8" t="d">
        <x:v>2026-04-22T00:00:00.000Z</x:v>
      </x:c>
      <x:c r="C17" s="2" t="str">
        <x:v>Jamie Wilson</x:v>
      </x:c>
      <x:c r="D17" s="2" t="str">
        <x:v>Corporate</x:v>
      </x:c>
      <x:c r="E17" s="2" t="str">
        <x:v>Ground Transport</x:v>
      </x:c>
      <x:c r="F17" s="2" t="str">
        <x:v>Lyft</x:v>
      </x:c>
      <x:c r="G17" s="9" t="n">
        <x:v>775</x:v>
      </x:c>
      <x:c r="H17" s="9" t="str">
        <x:v>Attached</x:v>
      </x:c>
      <x:c r="I17" s="9" t="str">
        <x:v>Approved</x:v>
      </x:c>
      <x:c r="J17" s="9" t="n">
        <x:v>775</x:v>
      </x:c>
      <x:c r="K17" s="9" t="n">
        <x:v>775</x:v>
      </x:c>
      <x:c r="L17" s="9" t="n">
        <x:f>'Policy'!$B$5</x:f>
        <x:v>180</x:v>
      </x:c>
      <x:c r="M17" s="9" t="n">
        <x:f>J17-K17</x:f>
        <x:v>0</x:v>
      </x:c>
      <x:c r="N17" s="9" t="n">
        <x:f>MAX(0,G17-L17)</x:f>
        <x:v>595</x:v>
      </x:c>
      <x:c r="O17" s="2" t="str">
        <x:f>IF(ABS(M17)&gt;0.01,"RECON",IF(N17&gt;0,"OVER LIMIT",IF(H17="Missing","MISSING RECEIPT",IF(I17&lt;&gt;"Approved","PENDING","CLEAR"))))</x:f>
        <x:v>OVER LIMIT</x:v>
      </x:c>
    </x:row>
    <x:row r="18">
      <x:c r="A18" s="2" t="str">
        <x:v>EXP-0017</x:v>
      </x:c>
      <x:c r="B18" s="8" t="d">
        <x:v>2026-05-25T00:00:00.000Z</x:v>
      </x:c>
      <x:c r="C18" s="2" t="str">
        <x:v>Avery Chen</x:v>
      </x:c>
      <x:c r="D18" s="2" t="str">
        <x:v>Sales</x:v>
      </x:c>
      <x:c r="E18" s="2" t="str">
        <x:v>Software</x:v>
      </x:c>
      <x:c r="F18" s="2" t="str">
        <x:v>CloudWorks</x:v>
      </x:c>
      <x:c r="G18" s="9" t="n">
        <x:v>930.25</x:v>
      </x:c>
      <x:c r="H18" s="9" t="str">
        <x:v>Attached</x:v>
      </x:c>
      <x:c r="I18" s="9" t="str">
        <x:v>Pending</x:v>
      </x:c>
      <x:c r="J18" s="9" t="n">
        <x:v>930.25</x:v>
      </x:c>
      <x:c r="K18" s="9" t="n">
        <x:v>930.25</x:v>
      </x:c>
      <x:c r="L18" s="9" t="n">
        <x:f>'Policy'!$B$6</x:f>
        <x:v>500</x:v>
      </x:c>
      <x:c r="M18" s="9" t="n">
        <x:f>J18-K18</x:f>
        <x:v>0</x:v>
      </x:c>
      <x:c r="N18" s="9" t="n">
        <x:f>MAX(0,G18-L18)</x:f>
        <x:v>430.25</x:v>
      </x:c>
      <x:c r="O18" s="2" t="str">
        <x:f>IF(ABS(M18)&gt;0.01,"RECON",IF(N18&gt;0,"OVER LIMIT",IF(H18="Missing","MISSING RECEIPT",IF(I18&lt;&gt;"Approved","PENDING","CLEAR"))))</x:f>
        <x:v>OVER LIMIT</x:v>
      </x:c>
    </x:row>
    <x:row r="19">
      <x:c r="A19" s="2" t="str">
        <x:v>EXP-0018</x:v>
      </x:c>
      <x:c r="B19" s="8" t="d">
        <x:v>2026-06-03T00:00:00.000Z</x:v>
      </x:c>
      <x:c r="C19" s="2" t="str">
        <x:v>Jordan Lee</x:v>
      </x:c>
      <x:c r="D19" s="2" t="str">
        <x:v>Engineering</x:v>
      </x:c>
      <x:c r="E19" s="2" t="str">
        <x:v>Supplies</x:v>
      </x:c>
      <x:c r="F19" s="2" t="str">
        <x:v>Office Depot</x:v>
      </x:c>
      <x:c r="G19" s="9" t="n">
        <x:v>1085.5</x:v>
      </x:c>
      <x:c r="H19" s="9" t="str">
        <x:v>Attached</x:v>
      </x:c>
      <x:c r="I19" s="9" t="str">
        <x:v>Approved</x:v>
      </x:c>
      <x:c r="J19" s="9" t="n">
        <x:v>1078.25</x:v>
      </x:c>
      <x:c r="K19" s="9" t="n">
        <x:v>1085.5</x:v>
      </x:c>
      <x:c r="L19" s="9" t="n">
        <x:f>'Policy'!$B$7</x:f>
        <x:v>250</x:v>
      </x:c>
      <x:c r="M19" s="9" t="n">
        <x:f>J19-K19</x:f>
        <x:v>-7.25</x:v>
      </x:c>
      <x:c r="N19" s="9" t="n">
        <x:f>MAX(0,G19-L19)</x:f>
        <x:v>835.5</x:v>
      </x:c>
      <x:c r="O19" s="2" t="str">
        <x:f>IF(ABS(M19)&gt;0.01,"RECON",IF(N19&gt;0,"OVER LIMIT",IF(H19="Missing","MISSING RECEIPT",IF(I19&lt;&gt;"Approved","PENDING","CLEAR"))))</x:f>
        <x:v>RECON</x:v>
      </x:c>
    </x:row>
    <x:row r="20">
      <x:c r="A20" s="2" t="str">
        <x:v>EXP-0019</x:v>
      </x:c>
      <x:c r="B20" s="8" t="d">
        <x:v>2026-01-06T00:00:00.000Z</x:v>
      </x:c>
      <x:c r="C20" s="2" t="str">
        <x:v>Morgan Patel</x:v>
      </x:c>
      <x:c r="D20" s="2" t="str">
        <x:v>Operations</x:v>
      </x:c>
      <x:c r="E20" s="2" t="str">
        <x:v>Airfare</x:v>
      </x:c>
      <x:c r="F20" s="2" t="str">
        <x:v>Delta Air Lines</x:v>
      </x:c>
      <x:c r="G20" s="9" t="n">
        <x:v>1240.75</x:v>
      </x:c>
      <x:c r="H20" s="9" t="str">
        <x:v>Missing</x:v>
      </x:c>
      <x:c r="I20" s="9" t="str">
        <x:v>Approved</x:v>
      </x:c>
      <x:c r="J20" s="9" t="n">
        <x:v>1240.75</x:v>
      </x:c>
      <x:c r="K20" s="9" t="n">
        <x:v>1240.75</x:v>
      </x:c>
      <x:c r="L20" s="9" t="n">
        <x:f>'Policy'!$B$2</x:f>
        <x:v>1200</x:v>
      </x:c>
      <x:c r="M20" s="9" t="n">
        <x:f>J20-K20</x:f>
        <x:v>0</x:v>
      </x:c>
      <x:c r="N20" s="9" t="n">
        <x:f>MAX(0,G20-L20)</x:f>
        <x:v>40.75</x:v>
      </x:c>
      <x:c r="O20" s="2" t="str">
        <x:f>IF(ABS(M20)&gt;0.01,"RECON",IF(N20&gt;0,"OVER LIMIT",IF(H20="Missing","MISSING RECEIPT",IF(I20&lt;&gt;"Approved","PENDING","CLEAR"))))</x:f>
        <x:v>OVER LIMIT</x:v>
      </x:c>
    </x:row>
    <x:row r="21">
      <x:c r="A21" s="2" t="str">
        <x:v>EXP-0020</x:v>
      </x:c>
      <x:c r="B21" s="8" t="d">
        <x:v>2026-02-09T00:00:00.000Z</x:v>
      </x:c>
      <x:c r="C21" s="2" t="str">
        <x:v>Riley Smith</x:v>
      </x:c>
      <x:c r="D21" s="2" t="str">
        <x:v>Corporate</x:v>
      </x:c>
      <x:c r="E21" s="2" t="str">
        <x:v>Lodging</x:v>
      </x:c>
      <x:c r="F21" s="2" t="str">
        <x:v>Marriott</x:v>
      </x:c>
      <x:c r="G21" s="9" t="n">
        <x:v>1396</x:v>
      </x:c>
      <x:c r="H21" s="9" t="str">
        <x:v>Attached</x:v>
      </x:c>
      <x:c r="I21" s="9" t="str">
        <x:v>Approved</x:v>
      </x:c>
      <x:c r="J21" s="9" t="n">
        <x:v>1396</x:v>
      </x:c>
      <x:c r="K21" s="9" t="n">
        <x:v>1396</x:v>
      </x:c>
      <x:c r="L21" s="9" t="n">
        <x:f>'Policy'!$B$3</x:f>
        <x:v>350</x:v>
      </x:c>
      <x:c r="M21" s="9" t="n">
        <x:f>J21-K21</x:f>
        <x:v>0</x:v>
      </x:c>
      <x:c r="N21" s="9" t="n">
        <x:f>MAX(0,G21-L21)</x:f>
        <x:v>1046</x:v>
      </x:c>
      <x:c r="O21" s="2" t="str">
        <x:f>IF(ABS(M21)&gt;0.01,"RECON",IF(N21&gt;0,"OVER LIMIT",IF(H21="Missing","MISSING RECEIPT",IF(I21&lt;&gt;"Approved","PENDING","CLEAR"))))</x:f>
        <x:v>OVER LIMIT</x:v>
      </x:c>
    </x:row>
    <x:row r="22">
      <x:c r="A22" s="2" t="str">
        <x:v>EXP-0021</x:v>
      </x:c>
      <x:c r="B22" s="8" t="d">
        <x:v>2026-03-12T00:00:00.000Z</x:v>
      </x:c>
      <x:c r="C22" s="2" t="str">
        <x:v>Taylor Brooks</x:v>
      </x:c>
      <x:c r="D22" s="2" t="str">
        <x:v>Sales</x:v>
      </x:c>
      <x:c r="E22" s="2" t="str">
        <x:v>Meals</x:v>
      </x:c>
      <x:c r="F22" s="2" t="str">
        <x:v>City Bistro</x:v>
      </x:c>
      <x:c r="G22" s="9" t="n">
        <x:v>135</x:v>
      </x:c>
      <x:c r="H22" s="9" t="str">
        <x:v>Attached</x:v>
      </x:c>
      <x:c r="I22" s="9" t="str">
        <x:v>Rejected</x:v>
      </x:c>
      <x:c r="J22" s="9" t="n">
        <x:v>135</x:v>
      </x:c>
      <x:c r="K22" s="9" t="n">
        <x:v>135</x:v>
      </x:c>
      <x:c r="L22" s="9" t="n">
        <x:f>'Policy'!$B$4</x:f>
        <x:v>90</x:v>
      </x:c>
      <x:c r="M22" s="9" t="n">
        <x:f>J22-K22</x:f>
        <x:v>0</x:v>
      </x:c>
      <x:c r="N22" s="9" t="n">
        <x:f>MAX(0,G22-L22)</x:f>
        <x:v>45</x:v>
      </x:c>
      <x:c r="O22" s="2" t="str">
        <x:f>IF(ABS(M22)&gt;0.01,"RECON",IF(N22&gt;0,"OVER LIMIT",IF(H22="Missing","MISSING RECEIPT",IF(I22&lt;&gt;"Approved","PENDING","CLEAR"))))</x:f>
        <x:v>OVER LIMIT</x:v>
      </x:c>
    </x:row>
    <x:row r="23">
      <x:c r="A23" s="2" t="str">
        <x:v>EXP-0022</x:v>
      </x:c>
      <x:c r="B23" s="8" t="d">
        <x:v>2026-04-15T00:00:00.000Z</x:v>
      </x:c>
      <x:c r="C23" s="2" t="str">
        <x:v>Casey Nguyen</x:v>
      </x:c>
      <x:c r="D23" s="2" t="str">
        <x:v>Engineering</x:v>
      </x:c>
      <x:c r="E23" s="2" t="str">
        <x:v>Ground Transport</x:v>
      </x:c>
      <x:c r="F23" s="2" t="str">
        <x:v>Lyft</x:v>
      </x:c>
      <x:c r="G23" s="9" t="n">
        <x:v>290.25</x:v>
      </x:c>
      <x:c r="H23" s="9" t="str">
        <x:v>Attached</x:v>
      </x:c>
      <x:c r="I23" s="9" t="str">
        <x:v>Approved</x:v>
      </x:c>
      <x:c r="J23" s="9" t="n">
        <x:v>290.25</x:v>
      </x:c>
      <x:c r="K23" s="9" t="n">
        <x:v>290.25</x:v>
      </x:c>
      <x:c r="L23" s="9" t="n">
        <x:f>'Policy'!$B$5</x:f>
        <x:v>180</x:v>
      </x:c>
      <x:c r="M23" s="9" t="n">
        <x:f>J23-K23</x:f>
        <x:v>0</x:v>
      </x:c>
      <x:c r="N23" s="9" t="n">
        <x:f>MAX(0,G23-L23)</x:f>
        <x:v>110.25</x:v>
      </x:c>
      <x:c r="O23" s="2" t="str">
        <x:f>IF(ABS(M23)&gt;0.01,"RECON",IF(N23&gt;0,"OVER LIMIT",IF(H23="Missing","MISSING RECEIPT",IF(I23&lt;&gt;"Approved","PENDING","CLEAR"))))</x:f>
        <x:v>OVER LIMIT</x:v>
      </x:c>
    </x:row>
    <x:row r="24">
      <x:c r="A24" s="2" t="str">
        <x:v>EXP-0023</x:v>
      </x:c>
      <x:c r="B24" s="8" t="d">
        <x:v>2026-05-18T00:00:00.000Z</x:v>
      </x:c>
      <x:c r="C24" s="2" t="str">
        <x:v>Sam Rivera</x:v>
      </x:c>
      <x:c r="D24" s="2" t="str">
        <x:v>Operations</x:v>
      </x:c>
      <x:c r="E24" s="2" t="str">
        <x:v>Software</x:v>
      </x:c>
      <x:c r="F24" s="2" t="str">
        <x:v>CloudWorks</x:v>
      </x:c>
      <x:c r="G24" s="9" t="n">
        <x:v>445.5</x:v>
      </x:c>
      <x:c r="H24" s="9" t="str">
        <x:v>Attached</x:v>
      </x:c>
      <x:c r="I24" s="9" t="str">
        <x:v>Approved</x:v>
      </x:c>
      <x:c r="J24" s="9" t="n">
        <x:v>458</x:v>
      </x:c>
      <x:c r="K24" s="9" t="n">
        <x:v>445.5</x:v>
      </x:c>
      <x:c r="L24" s="9" t="n">
        <x:f>'Policy'!$B$6</x:f>
        <x:v>500</x:v>
      </x:c>
      <x:c r="M24" s="9" t="n">
        <x:f>J24-K24</x:f>
        <x:v>12.5</x:v>
      </x:c>
      <x:c r="N24" s="9" t="n">
        <x:f>MAX(0,G24-L24)</x:f>
        <x:v>0</x:v>
      </x:c>
      <x:c r="O24" s="2" t="str">
        <x:f>IF(ABS(M24)&gt;0.01,"RECON",IF(N24&gt;0,"OVER LIMIT",IF(H24="Missing","MISSING RECEIPT",IF(I24&lt;&gt;"Approved","PENDING","CLEAR"))))</x:f>
        <x:v>RECON</x:v>
      </x:c>
    </x:row>
    <x:row r="25">
      <x:c r="A25" s="2" t="str">
        <x:v>EXP-0024</x:v>
      </x:c>
      <x:c r="B25" s="8" t="d">
        <x:v>2026-06-21T00:00:00.000Z</x:v>
      </x:c>
      <x:c r="C25" s="2" t="str">
        <x:v>Jamie Wilson</x:v>
      </x:c>
      <x:c r="D25" s="2" t="str">
        <x:v>Corporate</x:v>
      </x:c>
      <x:c r="E25" s="2" t="str">
        <x:v>Supplies</x:v>
      </x:c>
      <x:c r="F25" s="2" t="str">
        <x:v>Office Depot</x:v>
      </x:c>
      <x:c r="G25" s="9" t="n">
        <x:v>600.75</x:v>
      </x:c>
      <x:c r="H25" s="9" t="str">
        <x:v>Attached</x:v>
      </x:c>
      <x:c r="I25" s="9" t="str">
        <x:v>Approved</x:v>
      </x:c>
      <x:c r="J25" s="9" t="n">
        <x:v>600.75</x:v>
      </x:c>
      <x:c r="K25" s="9" t="n">
        <x:v>600.75</x:v>
      </x:c>
      <x:c r="L25" s="9" t="n">
        <x:f>'Policy'!$B$7</x:f>
        <x:v>250</x:v>
      </x:c>
      <x:c r="M25" s="9" t="n">
        <x:f>J25-K25</x:f>
        <x:v>0</x:v>
      </x:c>
      <x:c r="N25" s="9" t="n">
        <x:f>MAX(0,G25-L25)</x:f>
        <x:v>350.75</x:v>
      </x:c>
      <x:c r="O25" s="2" t="str">
        <x:f>IF(ABS(M25)&gt;0.01,"RECON",IF(N25&gt;0,"OVER LIMIT",IF(H25="Missing","MISSING RECEIPT",IF(I25&lt;&gt;"Approved","PENDING","CLEAR"))))</x:f>
        <x:v>OVER LIMIT</x:v>
      </x:c>
    </x:row>
    <x:row r="26">
      <x:c r="A26" s="2" t="str">
        <x:v>EXP-0025</x:v>
      </x:c>
      <x:c r="B26" s="8" t="d">
        <x:v>2026-01-24T00:00:00.000Z</x:v>
      </x:c>
      <x:c r="C26" s="2" t="str">
        <x:v>Avery Chen</x:v>
      </x:c>
      <x:c r="D26" s="2" t="str">
        <x:v>Sales</x:v>
      </x:c>
      <x:c r="E26" s="2" t="str">
        <x:v>Airfare</x:v>
      </x:c>
      <x:c r="F26" s="2" t="str">
        <x:v>Delta Air Lines</x:v>
      </x:c>
      <x:c r="G26" s="9" t="n">
        <x:v>756</x:v>
      </x:c>
      <x:c r="H26" s="9" t="str">
        <x:v>Attached</x:v>
      </x:c>
      <x:c r="I26" s="9" t="str">
        <x:v>Pending</x:v>
      </x:c>
      <x:c r="J26" s="9" t="n">
        <x:v>756</x:v>
      </x:c>
      <x:c r="K26" s="9" t="n">
        <x:v>756</x:v>
      </x:c>
      <x:c r="L26" s="9" t="n">
        <x:f>'Policy'!$B$2</x:f>
        <x:v>1200</x:v>
      </x:c>
      <x:c r="M26" s="9" t="n">
        <x:f>J26-K26</x:f>
        <x:v>0</x:v>
      </x:c>
      <x:c r="N26" s="9" t="n">
        <x:f>MAX(0,G26-L26)</x:f>
        <x:v>0</x:v>
      </x:c>
      <x:c r="O26" s="2" t="str">
        <x:f>IF(ABS(M26)&gt;0.01,"RECON",IF(N26&gt;0,"OVER LIMIT",IF(H26="Missing","MISSING RECEIPT",IF(I26&lt;&gt;"Approved","PENDING","CLEAR"))))</x:f>
        <x:v>PENDING</x:v>
      </x:c>
    </x:row>
    <x:row r="27">
      <x:c r="A27" s="2" t="str">
        <x:v>EXP-0026</x:v>
      </x:c>
      <x:c r="B27" s="8" t="d">
        <x:v>2026-02-02T00:00:00.000Z</x:v>
      </x:c>
      <x:c r="C27" s="2" t="str">
        <x:v>Jordan Lee</x:v>
      </x:c>
      <x:c r="D27" s="2" t="str">
        <x:v>Engineering</x:v>
      </x:c>
      <x:c r="E27" s="2" t="str">
        <x:v>Lodging</x:v>
      </x:c>
      <x:c r="F27" s="2" t="str">
        <x:v>Marriott</x:v>
      </x:c>
      <x:c r="G27" s="9" t="n">
        <x:v>820</x:v>
      </x:c>
      <x:c r="H27" s="9" t="str">
        <x:v>Attached</x:v>
      </x:c>
      <x:c r="I27" s="9" t="str">
        <x:v>Approved</x:v>
      </x:c>
      <x:c r="J27" s="9" t="n">
        <x:v>820</x:v>
      </x:c>
      <x:c r="K27" s="9" t="n">
        <x:v>820</x:v>
      </x:c>
      <x:c r="L27" s="9" t="n">
        <x:f>'Policy'!$B$3</x:f>
        <x:v>350</x:v>
      </x:c>
      <x:c r="M27" s="9" t="n">
        <x:f>J27-K27</x:f>
        <x:v>0</x:v>
      </x:c>
      <x:c r="N27" s="9" t="n">
        <x:f>MAX(0,G27-L27)</x:f>
        <x:v>470</x:v>
      </x:c>
      <x:c r="O27" s="2" t="str">
        <x:f>IF(ABS(M27)&gt;0.01,"RECON",IF(N27&gt;0,"OVER LIMIT",IF(H27="Missing","MISSING RECEIPT",IF(I27&lt;&gt;"Approved","PENDING","CLEAR"))))</x:f>
        <x:v>OVER LIMIT</x:v>
      </x:c>
    </x:row>
    <x:row r="28">
      <x:c r="A28" s="2" t="str">
        <x:v>EXP-0027</x:v>
      </x:c>
      <x:c r="B28" s="8" t="d">
        <x:v>2026-03-05T00:00:00.000Z</x:v>
      </x:c>
      <x:c r="C28" s="2" t="str">
        <x:v>Morgan Patel</x:v>
      </x:c>
      <x:c r="D28" s="2" t="str">
        <x:v>Operations</x:v>
      </x:c>
      <x:c r="E28" s="2" t="str">
        <x:v>Meals</x:v>
      </x:c>
      <x:c r="F28" s="2" t="str">
        <x:v>City Bistro</x:v>
      </x:c>
      <x:c r="G28" s="9" t="n">
        <x:v>335</x:v>
      </x:c>
      <x:c r="H28" s="9" t="str">
        <x:v>Attached</x:v>
      </x:c>
      <x:c r="I28" s="9" t="str">
        <x:v>Approved</x:v>
      </x:c>
      <x:c r="J28" s="9" t="n">
        <x:v>335</x:v>
      </x:c>
      <x:c r="K28" s="9" t="n">
        <x:v>335</x:v>
      </x:c>
      <x:c r="L28" s="9" t="n">
        <x:f>'Policy'!$B$4</x:f>
        <x:v>90</x:v>
      </x:c>
      <x:c r="M28" s="9" t="n">
        <x:f>J28-K28</x:f>
        <x:v>0</x:v>
      </x:c>
      <x:c r="N28" s="9" t="n">
        <x:f>MAX(0,G28-L28)</x:f>
        <x:v>245</x:v>
      </x:c>
      <x:c r="O28" s="2" t="str">
        <x:f>IF(ABS(M28)&gt;0.01,"RECON",IF(N28&gt;0,"OVER LIMIT",IF(H28="Missing","MISSING RECEIPT",IF(I28&lt;&gt;"Approved","PENDING","CLEAR"))))</x:f>
        <x:v>OVER LIMIT</x:v>
      </x:c>
    </x:row>
    <x:row r="29">
      <x:c r="A29" s="2" t="str">
        <x:v>EXP-0028</x:v>
      </x:c>
      <x:c r="B29" s="8" t="d">
        <x:v>2026-04-08T00:00:00.000Z</x:v>
      </x:c>
      <x:c r="C29" s="2" t="str">
        <x:v>Riley Smith</x:v>
      </x:c>
      <x:c r="D29" s="2" t="str">
        <x:v>Corporate</x:v>
      </x:c>
      <x:c r="E29" s="2" t="str">
        <x:v>Ground Transport</x:v>
      </x:c>
      <x:c r="F29" s="2" t="str">
        <x:v>Lyft</x:v>
      </x:c>
      <x:c r="G29" s="9" t="n">
        <x:v>1130.5</x:v>
      </x:c>
      <x:c r="H29" s="9" t="str">
        <x:v>Missing</x:v>
      </x:c>
      <x:c r="I29" s="9" t="str">
        <x:v>Approved</x:v>
      </x:c>
      <x:c r="J29" s="9" t="n">
        <x:v>1130.5</x:v>
      </x:c>
      <x:c r="K29" s="9" t="n">
        <x:v>1130.5</x:v>
      </x:c>
      <x:c r="L29" s="9" t="n">
        <x:f>'Policy'!$B$5</x:f>
        <x:v>180</x:v>
      </x:c>
      <x:c r="M29" s="9" t="n">
        <x:f>J29-K29</x:f>
        <x:v>0</x:v>
      </x:c>
      <x:c r="N29" s="9" t="n">
        <x:f>MAX(0,G29-L29)</x:f>
        <x:v>950.5</x:v>
      </x:c>
      <x:c r="O29" s="2" t="str">
        <x:f>IF(ABS(M29)&gt;0.01,"RECON",IF(N29&gt;0,"OVER LIMIT",IF(H29="Missing","MISSING RECEIPT",IF(I29&lt;&gt;"Approved","PENDING","CLEAR"))))</x:f>
        <x:v>OVER LIMIT</x:v>
      </x:c>
    </x:row>
    <x:row r="30">
      <x:c r="A30" s="2" t="str">
        <x:v>EXP-0029</x:v>
      </x:c>
      <x:c r="B30" s="8" t="d">
        <x:v>2026-05-11T00:00:00.000Z</x:v>
      </x:c>
      <x:c r="C30" s="2" t="str">
        <x:v>Taylor Brooks</x:v>
      </x:c>
      <x:c r="D30" s="2" t="str">
        <x:v>Sales</x:v>
      </x:c>
      <x:c r="E30" s="2" t="str">
        <x:v>Software</x:v>
      </x:c>
      <x:c r="F30" s="2" t="str">
        <x:v>CloudWorks</x:v>
      </x:c>
      <x:c r="G30" s="9" t="n">
        <x:v>1285.75</x:v>
      </x:c>
      <x:c r="H30" s="9" t="str">
        <x:v>Attached</x:v>
      </x:c>
      <x:c r="I30" s="9" t="str">
        <x:v>Pending</x:v>
      </x:c>
      <x:c r="J30" s="9" t="n">
        <x:v>1285.75</x:v>
      </x:c>
      <x:c r="K30" s="9" t="n">
        <x:v>1285.75</x:v>
      </x:c>
      <x:c r="L30" s="9" t="n">
        <x:f>'Policy'!$B$6</x:f>
        <x:v>500</x:v>
      </x:c>
      <x:c r="M30" s="9" t="n">
        <x:f>J30-K30</x:f>
        <x:v>0</x:v>
      </x:c>
      <x:c r="N30" s="9" t="n">
        <x:f>MAX(0,G30-L30)</x:f>
        <x:v>785.75</x:v>
      </x:c>
      <x:c r="O30" s="2" t="str">
        <x:f>IF(ABS(M30)&gt;0.01,"RECON",IF(N30&gt;0,"OVER LIMIT",IF(H30="Missing","MISSING RECEIPT",IF(I30&lt;&gt;"Approved","PENDING","CLEAR"))))</x:f>
        <x:v>OVER LIMIT</x:v>
      </x:c>
    </x:row>
    <x:row r="31">
      <x:c r="A31" s="2" t="str">
        <x:v>EXP-0030</x:v>
      </x:c>
      <x:c r="B31" s="8" t="d">
        <x:v>2026-06-14T00:00:00.000Z</x:v>
      </x:c>
      <x:c r="C31" s="2" t="str">
        <x:v>Casey Nguyen</x:v>
      </x:c>
      <x:c r="D31" s="2" t="str">
        <x:v>Engineering</x:v>
      </x:c>
      <x:c r="E31" s="2" t="str">
        <x:v>Supplies</x:v>
      </x:c>
      <x:c r="F31" s="2" t="str">
        <x:v>Office Depot</x:v>
      </x:c>
      <x:c r="G31" s="9" t="n">
        <x:v>1441</x:v>
      </x:c>
      <x:c r="H31" s="9" t="str">
        <x:v>Attached</x:v>
      </x:c>
      <x:c r="I31" s="9" t="str">
        <x:v>Approved</x:v>
      </x:c>
      <x:c r="J31" s="9" t="n">
        <x:v>1441</x:v>
      </x:c>
      <x:c r="K31" s="9" t="n">
        <x:v>1441</x:v>
      </x:c>
      <x:c r="L31" s="9" t="n">
        <x:f>'Policy'!$B$7</x:f>
        <x:v>250</x:v>
      </x:c>
      <x:c r="M31" s="9" t="n">
        <x:f>J31-K31</x:f>
        <x:v>0</x:v>
      </x:c>
      <x:c r="N31" s="9" t="n">
        <x:f>MAX(0,G31-L31)</x:f>
        <x:v>1191</x:v>
      </x:c>
      <x:c r="O31" s="2" t="str">
        <x:f>IF(ABS(M31)&gt;0.01,"RECON",IF(N31&gt;0,"OVER LIMIT",IF(H31="Missing","MISSING RECEIPT",IF(I31&lt;&gt;"Approved","PENDING","CLEAR"))))</x:f>
        <x:v>OVER LIMIT</x:v>
      </x:c>
    </x:row>
    <x:row r="32">
      <x:c r="A32" s="2" t="str">
        <x:v>EXP-0031</x:v>
      </x:c>
      <x:c r="B32" s="8" t="d">
        <x:v>2026-01-17T00:00:00.000Z</x:v>
      </x:c>
      <x:c r="C32" s="2" t="str">
        <x:v>Sam Rivera</x:v>
      </x:c>
      <x:c r="D32" s="2" t="str">
        <x:v>Operations</x:v>
      </x:c>
      <x:c r="E32" s="2" t="str">
        <x:v>Airfare</x:v>
      </x:c>
      <x:c r="F32" s="2" t="str">
        <x:v>Delta Air Lines</x:v>
      </x:c>
      <x:c r="G32" s="9" t="n">
        <x:v>180</x:v>
      </x:c>
      <x:c r="H32" s="9" t="str">
        <x:v>Attached</x:v>
      </x:c>
      <x:c r="I32" s="9" t="str">
        <x:v>Rejected</x:v>
      </x:c>
      <x:c r="J32" s="9" t="n">
        <x:v>180</x:v>
      </x:c>
      <x:c r="K32" s="9" t="n">
        <x:v>180</x:v>
      </x:c>
      <x:c r="L32" s="9" t="n">
        <x:f>'Policy'!$B$2</x:f>
        <x:v>1200</x:v>
      </x:c>
      <x:c r="M32" s="9" t="n">
        <x:f>J32-K32</x:f>
        <x:v>0</x:v>
      </x:c>
      <x:c r="N32" s="9" t="n">
        <x:f>MAX(0,G32-L32)</x:f>
        <x:v>0</x:v>
      </x:c>
      <x:c r="O32" s="2" t="str">
        <x:f>IF(ABS(M32)&gt;0.01,"RECON",IF(N32&gt;0,"OVER LIMIT",IF(H32="Missing","MISSING RECEIPT",IF(I32&lt;&gt;"Approved","PENDING","CLEAR"))))</x:f>
        <x:v>PENDING</x:v>
      </x:c>
    </x:row>
    <x:row r="33">
      <x:c r="A33" s="2" t="str">
        <x:v>EXP-0032</x:v>
      </x:c>
      <x:c r="B33" s="8" t="d">
        <x:v>2026-02-20T00:00:00.000Z</x:v>
      </x:c>
      <x:c r="C33" s="2" t="str">
        <x:v>Jamie Wilson</x:v>
      </x:c>
      <x:c r="D33" s="2" t="str">
        <x:v>Corporate</x:v>
      </x:c>
      <x:c r="E33" s="2" t="str">
        <x:v>Lodging</x:v>
      </x:c>
      <x:c r="F33" s="2" t="str">
        <x:v>Marriott</x:v>
      </x:c>
      <x:c r="G33" s="9" t="n">
        <x:v>335.25</x:v>
      </x:c>
      <x:c r="H33" s="9" t="str">
        <x:v>Attached</x:v>
      </x:c>
      <x:c r="I33" s="9" t="str">
        <x:v>Approved</x:v>
      </x:c>
      <x:c r="J33" s="9" t="n">
        <x:v>335.25</x:v>
      </x:c>
      <x:c r="K33" s="9" t="n">
        <x:v>335.25</x:v>
      </x:c>
      <x:c r="L33" s="9" t="n">
        <x:f>'Policy'!$B$3</x:f>
        <x:v>350</x:v>
      </x:c>
      <x:c r="M33" s="9" t="n">
        <x:f>J33-K33</x:f>
        <x:v>0</x:v>
      </x:c>
      <x:c r="N33" s="9" t="n">
        <x:f>MAX(0,G33-L33)</x:f>
        <x:v>0</x:v>
      </x:c>
      <x:c r="O33" s="2" t="str">
        <x:f>IF(ABS(M33)&gt;0.01,"RECON",IF(N33&gt;0,"OVER LIMIT",IF(H33="Missing","MISSING RECEIPT",IF(I33&lt;&gt;"Approved","PENDING","CLEAR"))))</x:f>
        <x:v>CLEAR</x:v>
      </x:c>
    </x:row>
    <x:row r="34">
      <x:c r="A34" s="2" t="str">
        <x:v>EXP-0033</x:v>
      </x:c>
      <x:c r="B34" s="8" t="d">
        <x:v>2026-03-23T00:00:00.000Z</x:v>
      </x:c>
      <x:c r="C34" s="2" t="str">
        <x:v>Avery Chen</x:v>
      </x:c>
      <x:c r="D34" s="2" t="str">
        <x:v>Sales</x:v>
      </x:c>
      <x:c r="E34" s="2" t="str">
        <x:v>Meals</x:v>
      </x:c>
      <x:c r="F34" s="2" t="str">
        <x:v>City Bistro</x:v>
      </x:c>
      <x:c r="G34" s="9" t="n">
        <x:v>490.5</x:v>
      </x:c>
      <x:c r="H34" s="9" t="str">
        <x:v>Attached</x:v>
      </x:c>
      <x:c r="I34" s="9" t="str">
        <x:v>Pending</x:v>
      </x:c>
      <x:c r="J34" s="9" t="n">
        <x:v>490.5</x:v>
      </x:c>
      <x:c r="K34" s="9" t="n">
        <x:v>490.5</x:v>
      </x:c>
      <x:c r="L34" s="9" t="n">
        <x:f>'Policy'!$B$4</x:f>
        <x:v>90</x:v>
      </x:c>
      <x:c r="M34" s="9" t="n">
        <x:f>J34-K34</x:f>
        <x:v>0</x:v>
      </x:c>
      <x:c r="N34" s="9" t="n">
        <x:f>MAX(0,G34-L34)</x:f>
        <x:v>400.5</x:v>
      </x:c>
      <x:c r="O34" s="2" t="str">
        <x:f>IF(ABS(M34)&gt;0.01,"RECON",IF(N34&gt;0,"OVER LIMIT",IF(H34="Missing","MISSING RECEIPT",IF(I34&lt;&gt;"Approved","PENDING","CLEAR"))))</x:f>
        <x:v>OVER LIMIT</x:v>
      </x:c>
    </x:row>
    <x:row r="35">
      <x:c r="A35" s="2" t="str">
        <x:v>EXP-0034</x:v>
      </x:c>
      <x:c r="B35" s="8" t="d">
        <x:v>2026-04-26T00:00:00.000Z</x:v>
      </x:c>
      <x:c r="C35" s="2" t="str">
        <x:v>Jordan Lee</x:v>
      </x:c>
      <x:c r="D35" s="2" t="str">
        <x:v>Engineering</x:v>
      </x:c>
      <x:c r="E35" s="2" t="str">
        <x:v>Ground Transport</x:v>
      </x:c>
      <x:c r="F35" s="2" t="str">
        <x:v>Lyft</x:v>
      </x:c>
      <x:c r="G35" s="9" t="n">
        <x:v>645.75</x:v>
      </x:c>
      <x:c r="H35" s="9" t="str">
        <x:v>Attached</x:v>
      </x:c>
      <x:c r="I35" s="9" t="str">
        <x:v>Approved</x:v>
      </x:c>
      <x:c r="J35" s="9" t="n">
        <x:v>658.25</x:v>
      </x:c>
      <x:c r="K35" s="9" t="n">
        <x:v>645.75</x:v>
      </x:c>
      <x:c r="L35" s="9" t="n">
        <x:f>'Policy'!$B$5</x:f>
        <x:v>180</x:v>
      </x:c>
      <x:c r="M35" s="9" t="n">
        <x:f>J35-K35</x:f>
        <x:v>12.5</x:v>
      </x:c>
      <x:c r="N35" s="9" t="n">
        <x:f>MAX(0,G35-L35)</x:f>
        <x:v>465.75</x:v>
      </x:c>
      <x:c r="O35" s="2" t="str">
        <x:f>IF(ABS(M35)&gt;0.01,"RECON",IF(N35&gt;0,"OVER LIMIT",IF(H35="Missing","MISSING RECEIPT",IF(I35&lt;&gt;"Approved","PENDING","CLEAR"))))</x:f>
        <x:v>RECON</x:v>
      </x:c>
    </x:row>
    <x:row r="36">
      <x:c r="A36" s="2" t="str">
        <x:v>EXP-0035</x:v>
      </x:c>
      <x:c r="B36" s="8" t="d">
        <x:v>2026-05-04T00:00:00.000Z</x:v>
      </x:c>
      <x:c r="C36" s="2" t="str">
        <x:v>Morgan Patel</x:v>
      </x:c>
      <x:c r="D36" s="2" t="str">
        <x:v>Operations</x:v>
      </x:c>
      <x:c r="E36" s="2" t="str">
        <x:v>Software</x:v>
      </x:c>
      <x:c r="F36" s="2" t="str">
        <x:v>CloudWorks</x:v>
      </x:c>
      <x:c r="G36" s="9" t="n">
        <x:v>801</x:v>
      </x:c>
      <x:c r="H36" s="9" t="str">
        <x:v>Attached</x:v>
      </x:c>
      <x:c r="I36" s="9" t="str">
        <x:v>Approved</x:v>
      </x:c>
      <x:c r="J36" s="9" t="n">
        <x:v>793.75</x:v>
      </x:c>
      <x:c r="K36" s="9" t="n">
        <x:v>801</x:v>
      </x:c>
      <x:c r="L36" s="9" t="n">
        <x:f>'Policy'!$B$6</x:f>
        <x:v>500</x:v>
      </x:c>
      <x:c r="M36" s="9" t="n">
        <x:f>J36-K36</x:f>
        <x:v>-7.25</x:v>
      </x:c>
      <x:c r="N36" s="9" t="n">
        <x:f>MAX(0,G36-L36)</x:f>
        <x:v>301</x:v>
      </x:c>
      <x:c r="O36" s="2" t="str">
        <x:f>IF(ABS(M36)&gt;0.01,"RECON",IF(N36&gt;0,"OVER LIMIT",IF(H36="Missing","MISSING RECEIPT",IF(I36&lt;&gt;"Approved","PENDING","CLEAR"))))</x:f>
        <x:v>RECON</x:v>
      </x:c>
    </x:row>
    <x:row r="37">
      <x:c r="A37" s="2" t="str">
        <x:v>EXP-0036</x:v>
      </x:c>
      <x:c r="B37" s="8" t="d">
        <x:v>2026-06-07T00:00:00.000Z</x:v>
      </x:c>
      <x:c r="C37" s="2" t="str">
        <x:v>Riley Smith</x:v>
      </x:c>
      <x:c r="D37" s="2" t="str">
        <x:v>Corporate</x:v>
      </x:c>
      <x:c r="E37" s="2" t="str">
        <x:v>Supplies</x:v>
      </x:c>
      <x:c r="F37" s="2" t="str">
        <x:v>Office Depot</x:v>
      </x:c>
      <x:c r="G37" s="9" t="n">
        <x:v>865</x:v>
      </x:c>
      <x:c r="H37" s="9" t="str">
        <x:v>Attached</x:v>
      </x:c>
      <x:c r="I37" s="9" t="str">
        <x:v>Approved</x:v>
      </x:c>
      <x:c r="J37" s="9" t="n">
        <x:v>865</x:v>
      </x:c>
      <x:c r="K37" s="9" t="n">
        <x:v>865</x:v>
      </x:c>
      <x:c r="L37" s="9" t="n">
        <x:f>'Policy'!$B$7</x:f>
        <x:v>250</x:v>
      </x:c>
      <x:c r="M37" s="9" t="n">
        <x:f>J37-K37</x:f>
        <x:v>0</x:v>
      </x:c>
      <x:c r="N37" s="9" t="n">
        <x:f>MAX(0,G37-L37)</x:f>
        <x:v>615</x:v>
      </x:c>
      <x:c r="O37" s="2" t="str">
        <x:f>IF(ABS(M37)&gt;0.01,"RECON",IF(N37&gt;0,"OVER LIMIT",IF(H37="Missing","MISSING RECEIPT",IF(I37&lt;&gt;"Approved","PENDING","CLEAR"))))</x:f>
        <x:v>OVER LIMIT</x:v>
      </x:c>
    </x:row>
    <x:row r="38">
      <x:c r="A38" s="2" t="str">
        <x:v>EXP-0037</x:v>
      </x:c>
      <x:c r="B38" s="8" t="d">
        <x:v>2026-01-10T00:00:00.000Z</x:v>
      </x:c>
      <x:c r="C38" s="2" t="str">
        <x:v>Taylor Brooks</x:v>
      </x:c>
      <x:c r="D38" s="2" t="str">
        <x:v>Sales</x:v>
      </x:c>
      <x:c r="E38" s="2" t="str">
        <x:v>Airfare</x:v>
      </x:c>
      <x:c r="F38" s="2" t="str">
        <x:v>Delta Air Lines</x:v>
      </x:c>
      <x:c r="G38" s="9" t="n">
        <x:v>1020.25</x:v>
      </x:c>
      <x:c r="H38" s="9" t="str">
        <x:v>Missing</x:v>
      </x:c>
      <x:c r="I38" s="9" t="str">
        <x:v>Pending</x:v>
      </x:c>
      <x:c r="J38" s="9" t="n">
        <x:v>1020.25</x:v>
      </x:c>
      <x:c r="K38" s="9" t="n">
        <x:v>1020.25</x:v>
      </x:c>
      <x:c r="L38" s="9" t="n">
        <x:f>'Policy'!$B$2</x:f>
        <x:v>1200</x:v>
      </x:c>
      <x:c r="M38" s="9" t="n">
        <x:f>J38-K38</x:f>
        <x:v>0</x:v>
      </x:c>
      <x:c r="N38" s="9" t="n">
        <x:f>MAX(0,G38-L38)</x:f>
        <x:v>0</x:v>
      </x:c>
      <x:c r="O38" s="2" t="str">
        <x:f>IF(ABS(M38)&gt;0.01,"RECON",IF(N38&gt;0,"OVER LIMIT",IF(H38="Missing","MISSING RECEIPT",IF(I38&lt;&gt;"Approved","PENDING","CLEAR"))))</x:f>
        <x:v>MISSING RECEIPT</x:v>
      </x:c>
    </x:row>
    <x:row r="39">
      <x:c r="A39" s="2" t="str">
        <x:v>EXP-0038</x:v>
      </x:c>
      <x:c r="B39" s="8" t="d">
        <x:v>2026-02-13T00:00:00.000Z</x:v>
      </x:c>
      <x:c r="C39" s="2" t="str">
        <x:v>Casey Nguyen</x:v>
      </x:c>
      <x:c r="D39" s="2" t="str">
        <x:v>Engineering</x:v>
      </x:c>
      <x:c r="E39" s="2" t="str">
        <x:v>Lodging</x:v>
      </x:c>
      <x:c r="F39" s="2" t="str">
        <x:v>Marriott</x:v>
      </x:c>
      <x:c r="G39" s="9" t="n">
        <x:v>1175.5</x:v>
      </x:c>
      <x:c r="H39" s="9" t="str">
        <x:v>Attached</x:v>
      </x:c>
      <x:c r="I39" s="9" t="str">
        <x:v>Approved</x:v>
      </x:c>
      <x:c r="J39" s="9" t="n">
        <x:v>1175.5</x:v>
      </x:c>
      <x:c r="K39" s="9" t="n">
        <x:v>1175.5</x:v>
      </x:c>
      <x:c r="L39" s="9" t="n">
        <x:f>'Policy'!$B$3</x:f>
        <x:v>350</x:v>
      </x:c>
      <x:c r="M39" s="9" t="n">
        <x:f>J39-K39</x:f>
        <x:v>0</x:v>
      </x:c>
      <x:c r="N39" s="9" t="n">
        <x:f>MAX(0,G39-L39)</x:f>
        <x:v>825.5</x:v>
      </x:c>
      <x:c r="O39" s="2" t="str">
        <x:f>IF(ABS(M39)&gt;0.01,"RECON",IF(N39&gt;0,"OVER LIMIT",IF(H39="Missing","MISSING RECEIPT",IF(I39&lt;&gt;"Approved","PENDING","CLEAR"))))</x:f>
        <x:v>OVER LIMIT</x:v>
      </x:c>
    </x:row>
    <x:row r="40">
      <x:c r="A40" s="2" t="str">
        <x:v>EXP-0039</x:v>
      </x:c>
      <x:c r="B40" s="8" t="d">
        <x:v>2026-03-16T00:00:00.000Z</x:v>
      </x:c>
      <x:c r="C40" s="2" t="str">
        <x:v>Sam Rivera</x:v>
      </x:c>
      <x:c r="D40" s="2" t="str">
        <x:v>Operations</x:v>
      </x:c>
      <x:c r="E40" s="2" t="str">
        <x:v>Meals</x:v>
      </x:c>
      <x:c r="F40" s="2" t="str">
        <x:v>City Bistro</x:v>
      </x:c>
      <x:c r="G40" s="9" t="n">
        <x:v>1330.75</x:v>
      </x:c>
      <x:c r="H40" s="9" t="str">
        <x:v>Attached</x:v>
      </x:c>
      <x:c r="I40" s="9" t="str">
        <x:v>Approved</x:v>
      </x:c>
      <x:c r="J40" s="9" t="n">
        <x:v>1330.75</x:v>
      </x:c>
      <x:c r="K40" s="9" t="n">
        <x:v>1330.75</x:v>
      </x:c>
      <x:c r="L40" s="9" t="n">
        <x:f>'Policy'!$B$4</x:f>
        <x:v>90</x:v>
      </x:c>
      <x:c r="M40" s="9" t="n">
        <x:f>J40-K40</x:f>
        <x:v>0</x:v>
      </x:c>
      <x:c r="N40" s="9" t="n">
        <x:f>MAX(0,G40-L40)</x:f>
        <x:v>1240.75</x:v>
      </x:c>
      <x:c r="O40" s="2" t="str">
        <x:f>IF(ABS(M40)&gt;0.01,"RECON",IF(N40&gt;0,"OVER LIMIT",IF(H40="Missing","MISSING RECEIPT",IF(I40&lt;&gt;"Approved","PENDING","CLEAR"))))</x:f>
        <x:v>OVER LIMIT</x:v>
      </x:c>
    </x:row>
    <x:row r="41">
      <x:c r="A41" s="2" t="str">
        <x:v>EXP-0040</x:v>
      </x:c>
      <x:c r="B41" s="8" t="d">
        <x:v>2026-04-19T00:00:00.000Z</x:v>
      </x:c>
      <x:c r="C41" s="2" t="str">
        <x:v>Jamie Wilson</x:v>
      </x:c>
      <x:c r="D41" s="2" t="str">
        <x:v>Corporate</x:v>
      </x:c>
      <x:c r="E41" s="2" t="str">
        <x:v>Ground Transport</x:v>
      </x:c>
      <x:c r="F41" s="2" t="str">
        <x:v>Lyft</x:v>
      </x:c>
      <x:c r="G41" s="9" t="n">
        <x:v>460</x:v>
      </x:c>
      <x:c r="H41" s="9" t="str">
        <x:v>Attached</x:v>
      </x:c>
      <x:c r="I41" s="9" t="str">
        <x:v>Approved</x:v>
      </x:c>
      <x:c r="J41" s="9" t="n">
        <x:v>460</x:v>
      </x:c>
      <x:c r="K41" s="9" t="n">
        <x:v>460</x:v>
      </x:c>
      <x:c r="L41" s="9" t="n">
        <x:f>'Policy'!$B$5</x:f>
        <x:v>180</x:v>
      </x:c>
      <x:c r="M41" s="9" t="n">
        <x:f>J41-K41</x:f>
        <x:v>0</x:v>
      </x:c>
      <x:c r="N41" s="9" t="n">
        <x:f>MAX(0,G41-L41)</x:f>
        <x:v>280</x:v>
      </x:c>
      <x:c r="O41" s="2" t="str">
        <x:f>IF(ABS(M41)&gt;0.01,"RECON",IF(N41&gt;0,"OVER LIMIT",IF(H41="Missing","MISSING RECEIPT",IF(I41&lt;&gt;"Approved","PENDING","CLEAR"))))</x:f>
        <x:v>OVER LIMIT</x:v>
      </x:c>
    </x:row>
    <x:row r="42">
      <x:c r="A42" s="2" t="str">
        <x:v>EXP-0041</x:v>
      </x:c>
      <x:c r="B42" s="8" t="d">
        <x:v>2026-05-22T00:00:00.000Z</x:v>
      </x:c>
      <x:c r="C42" s="2" t="str">
        <x:v>Avery Chen</x:v>
      </x:c>
      <x:c r="D42" s="2" t="str">
        <x:v>Sales</x:v>
      </x:c>
      <x:c r="E42" s="2" t="str">
        <x:v>Software</x:v>
      </x:c>
      <x:c r="F42" s="2" t="str">
        <x:v>CloudWorks</x:v>
      </x:c>
      <x:c r="G42" s="9" t="n">
        <x:v>225</x:v>
      </x:c>
      <x:c r="H42" s="9" t="str">
        <x:v>Attached</x:v>
      </x:c>
      <x:c r="I42" s="9" t="str">
        <x:v>Rejected</x:v>
      </x:c>
      <x:c r="J42" s="9" t="n">
        <x:v>225</x:v>
      </x:c>
      <x:c r="K42" s="9" t="n">
        <x:v>225</x:v>
      </x:c>
      <x:c r="L42" s="9" t="n">
        <x:f>'Policy'!$B$6</x:f>
        <x:v>500</x:v>
      </x:c>
      <x:c r="M42" s="9" t="n">
        <x:f>J42-K42</x:f>
        <x:v>0</x:v>
      </x:c>
      <x:c r="N42" s="9" t="n">
        <x:f>MAX(0,G42-L42)</x:f>
        <x:v>0</x:v>
      </x:c>
      <x:c r="O42" s="2" t="str">
        <x:f>IF(ABS(M42)&gt;0.01,"RECON",IF(N42&gt;0,"OVER LIMIT",IF(H42="Missing","MISSING RECEIPT",IF(I42&lt;&gt;"Approved","PENDING","CLEAR"))))</x:f>
        <x:v>PENDING</x:v>
      </x:c>
    </x:row>
    <x:row r="43">
      <x:c r="A43" s="2" t="str">
        <x:v>EXP-0042</x:v>
      </x:c>
      <x:c r="B43" s="8" t="d">
        <x:v>2026-06-25T00:00:00.000Z</x:v>
      </x:c>
      <x:c r="C43" s="2" t="str">
        <x:v>Jordan Lee</x:v>
      </x:c>
      <x:c r="D43" s="2" t="str">
        <x:v>Engineering</x:v>
      </x:c>
      <x:c r="E43" s="2" t="str">
        <x:v>Supplies</x:v>
      </x:c>
      <x:c r="F43" s="2" t="str">
        <x:v>Office Depot</x:v>
      </x:c>
      <x:c r="G43" s="9" t="n">
        <x:v>380.25</x:v>
      </x:c>
      <x:c r="H43" s="9" t="str">
        <x:v>Attached</x:v>
      </x:c>
      <x:c r="I43" s="9" t="str">
        <x:v>Approved</x:v>
      </x:c>
      <x:c r="J43" s="9" t="n">
        <x:v>380.25</x:v>
      </x:c>
      <x:c r="K43" s="9" t="n">
        <x:v>380.25</x:v>
      </x:c>
      <x:c r="L43" s="9" t="n">
        <x:f>'Policy'!$B$7</x:f>
        <x:v>250</x:v>
      </x:c>
      <x:c r="M43" s="9" t="n">
        <x:f>J43-K43</x:f>
        <x:v>0</x:v>
      </x:c>
      <x:c r="N43" s="9" t="n">
        <x:f>MAX(0,G43-L43)</x:f>
        <x:v>130.25</x:v>
      </x:c>
      <x:c r="O43" s="2" t="str">
        <x:f>IF(ABS(M43)&gt;0.01,"RECON",IF(N43&gt;0,"OVER LIMIT",IF(H43="Missing","MISSING RECEIPT",IF(I43&lt;&gt;"Approved","PENDING","CLEAR"))))</x:f>
        <x:v>OVER LIMIT</x:v>
      </x:c>
    </x:row>
    <x:row r="44">
      <x:c r="A44" s="2" t="str">
        <x:v>EXP-0043</x:v>
      </x:c>
      <x:c r="B44" s="8" t="d">
        <x:v>2026-01-03T00:00:00.000Z</x:v>
      </x:c>
      <x:c r="C44" s="2" t="str">
        <x:v>Morgan Patel</x:v>
      </x:c>
      <x:c r="D44" s="2" t="str">
        <x:v>Operations</x:v>
      </x:c>
      <x:c r="E44" s="2" t="str">
        <x:v>Airfare</x:v>
      </x:c>
      <x:c r="F44" s="2" t="str">
        <x:v>Delta Air Lines</x:v>
      </x:c>
      <x:c r="G44" s="9" t="n">
        <x:v>535.5</x:v>
      </x:c>
      <x:c r="H44" s="9" t="str">
        <x:v>Attached</x:v>
      </x:c>
      <x:c r="I44" s="9" t="str">
        <x:v>Approved</x:v>
      </x:c>
      <x:c r="J44" s="9" t="n">
        <x:v>535.5</x:v>
      </x:c>
      <x:c r="K44" s="9" t="n">
        <x:v>535.5</x:v>
      </x:c>
      <x:c r="L44" s="9" t="n">
        <x:f>'Policy'!$B$2</x:f>
        <x:v>1200</x:v>
      </x:c>
      <x:c r="M44" s="9" t="n">
        <x:f>J44-K44</x:f>
        <x:v>0</x:v>
      </x:c>
      <x:c r="N44" s="9" t="n">
        <x:f>MAX(0,G44-L44)</x:f>
        <x:v>0</x:v>
      </x:c>
      <x:c r="O44" s="2" t="str">
        <x:f>IF(ABS(M44)&gt;0.01,"RECON",IF(N44&gt;0,"OVER LIMIT",IF(H44="Missing","MISSING RECEIPT",IF(I44&lt;&gt;"Approved","PENDING","CLEAR"))))</x:f>
        <x:v>CLEAR</x:v>
      </x:c>
    </x:row>
    <x:row r="45">
      <x:c r="A45" s="2" t="str">
        <x:v>EXP-0044</x:v>
      </x:c>
      <x:c r="B45" s="8" t="d">
        <x:v>2026-02-06T00:00:00.000Z</x:v>
      </x:c>
      <x:c r="C45" s="2" t="str">
        <x:v>Riley Smith</x:v>
      </x:c>
      <x:c r="D45" s="2" t="str">
        <x:v>Corporate</x:v>
      </x:c>
      <x:c r="E45" s="2" t="str">
        <x:v>Lodging</x:v>
      </x:c>
      <x:c r="F45" s="2" t="str">
        <x:v>Marriott</x:v>
      </x:c>
      <x:c r="G45" s="9" t="n">
        <x:v>690.75</x:v>
      </x:c>
      <x:c r="H45" s="9" t="str">
        <x:v>Attached</x:v>
      </x:c>
      <x:c r="I45" s="9" t="str">
        <x:v>Approved</x:v>
      </x:c>
      <x:c r="J45" s="9" t="n">
        <x:v>690.75</x:v>
      </x:c>
      <x:c r="K45" s="9" t="n">
        <x:v>690.75</x:v>
      </x:c>
      <x:c r="L45" s="9" t="n">
        <x:f>'Policy'!$B$3</x:f>
        <x:v>350</x:v>
      </x:c>
      <x:c r="M45" s="9" t="n">
        <x:f>J45-K45</x:f>
        <x:v>0</x:v>
      </x:c>
      <x:c r="N45" s="9" t="n">
        <x:f>MAX(0,G45-L45)</x:f>
        <x:v>340.75</x:v>
      </x:c>
      <x:c r="O45" s="2" t="str">
        <x:f>IF(ABS(M45)&gt;0.01,"RECON",IF(N45&gt;0,"OVER LIMIT",IF(H45="Missing","MISSING RECEIPT",IF(I45&lt;&gt;"Approved","PENDING","CLEAR"))))</x:f>
        <x:v>OVER LIMIT</x:v>
      </x:c>
    </x:row>
    <x:row r="46">
      <x:c r="A46" s="2" t="str">
        <x:v>EXP-0045</x:v>
      </x:c>
      <x:c r="B46" s="8" t="d">
        <x:v>2026-03-09T00:00:00.000Z</x:v>
      </x:c>
      <x:c r="C46" s="2" t="str">
        <x:v>Taylor Brooks</x:v>
      </x:c>
      <x:c r="D46" s="2" t="str">
        <x:v>Sales</x:v>
      </x:c>
      <x:c r="E46" s="2" t="str">
        <x:v>Meals</x:v>
      </x:c>
      <x:c r="F46" s="2" t="str">
        <x:v>City Bistro</x:v>
      </x:c>
      <x:c r="G46" s="9" t="n">
        <x:v>846</x:v>
      </x:c>
      <x:c r="H46" s="9" t="str">
        <x:v>Attached</x:v>
      </x:c>
      <x:c r="I46" s="9" t="str">
        <x:v>Pending</x:v>
      </x:c>
      <x:c r="J46" s="9" t="n">
        <x:v>858.5</x:v>
      </x:c>
      <x:c r="K46" s="9" t="n">
        <x:v>846</x:v>
      </x:c>
      <x:c r="L46" s="9" t="n">
        <x:f>'Policy'!$B$4</x:f>
        <x:v>90</x:v>
      </x:c>
      <x:c r="M46" s="9" t="n">
        <x:f>J46-K46</x:f>
        <x:v>12.5</x:v>
      </x:c>
      <x:c r="N46" s="9" t="n">
        <x:f>MAX(0,G46-L46)</x:f>
        <x:v>756</x:v>
      </x:c>
      <x:c r="O46" s="2" t="str">
        <x:f>IF(ABS(M46)&gt;0.01,"RECON",IF(N46&gt;0,"OVER LIMIT",IF(H46="Missing","MISSING RECEIPT",IF(I46&lt;&gt;"Approved","PENDING","CLEAR"))))</x:f>
        <x:v>RECON</x:v>
      </x:c>
    </x:row>
    <x:row r="47">
      <x:c r="A47" s="2" t="str">
        <x:v>EXP-0046</x:v>
      </x:c>
      <x:c r="B47" s="8" t="d">
        <x:v>2026-04-12T00:00:00.000Z</x:v>
      </x:c>
      <x:c r="C47" s="2" t="str">
        <x:v>Casey Nguyen</x:v>
      </x:c>
      <x:c r="D47" s="2" t="str">
        <x:v>Engineering</x:v>
      </x:c>
      <x:c r="E47" s="2" t="str">
        <x:v>Ground Transport</x:v>
      </x:c>
      <x:c r="F47" s="2" t="str">
        <x:v>Lyft</x:v>
      </x:c>
      <x:c r="G47" s="9" t="n">
        <x:v>910</x:v>
      </x:c>
      <x:c r="H47" s="9" t="str">
        <x:v>Missing</x:v>
      </x:c>
      <x:c r="I47" s="9" t="str">
        <x:v>Approved</x:v>
      </x:c>
      <x:c r="J47" s="9" t="n">
        <x:v>910</x:v>
      </x:c>
      <x:c r="K47" s="9" t="n">
        <x:v>910</x:v>
      </x:c>
      <x:c r="L47" s="9" t="n">
        <x:f>'Policy'!$B$5</x:f>
        <x:v>180</x:v>
      </x:c>
      <x:c r="M47" s="9" t="n">
        <x:f>J47-K47</x:f>
        <x:v>0</x:v>
      </x:c>
      <x:c r="N47" s="9" t="n">
        <x:f>MAX(0,G47-L47)</x:f>
        <x:v>730</x:v>
      </x:c>
      <x:c r="O47" s="2" t="str">
        <x:f>IF(ABS(M47)&gt;0.01,"RECON",IF(N47&gt;0,"OVER LIMIT",IF(H47="Missing","MISSING RECEIPT",IF(I47&lt;&gt;"Approved","PENDING","CLEAR"))))</x:f>
        <x:v>OVER LIMIT</x:v>
      </x:c>
    </x:row>
    <x:row r="48">
      <x:c r="A48" s="2" t="str">
        <x:v>EXP-0047</x:v>
      </x:c>
      <x:c r="B48" s="8" t="d">
        <x:v>2026-05-15T00:00:00.000Z</x:v>
      </x:c>
      <x:c r="C48" s="2" t="str">
        <x:v>Sam Rivera</x:v>
      </x:c>
      <x:c r="D48" s="2" t="str">
        <x:v>Operations</x:v>
      </x:c>
      <x:c r="E48" s="2" t="str">
        <x:v>Software</x:v>
      </x:c>
      <x:c r="F48" s="2" t="str">
        <x:v>CloudWorks</x:v>
      </x:c>
      <x:c r="G48" s="9" t="n">
        <x:v>1065.25</x:v>
      </x:c>
      <x:c r="H48" s="9" t="str">
        <x:v>Attached</x:v>
      </x:c>
      <x:c r="I48" s="9" t="str">
        <x:v>Approved</x:v>
      </x:c>
      <x:c r="J48" s="9" t="n">
        <x:v>1065.25</x:v>
      </x:c>
      <x:c r="K48" s="9" t="n">
        <x:v>1065.25</x:v>
      </x:c>
      <x:c r="L48" s="9" t="n">
        <x:f>'Policy'!$B$6</x:f>
        <x:v>500</x:v>
      </x:c>
      <x:c r="M48" s="9" t="n">
        <x:f>J48-K48</x:f>
        <x:v>0</x:v>
      </x:c>
      <x:c r="N48" s="9" t="n">
        <x:f>MAX(0,G48-L48)</x:f>
        <x:v>565.25</x:v>
      </x:c>
      <x:c r="O48" s="2" t="str">
        <x:f>IF(ABS(M48)&gt;0.01,"RECON",IF(N48&gt;0,"OVER LIMIT",IF(H48="Missing","MISSING RECEIPT",IF(I48&lt;&gt;"Approved","PENDING","CLEAR"))))</x:f>
        <x:v>OVER LIMIT</x:v>
      </x:c>
    </x:row>
    <x:row r="49">
      <x:c r="A49" s="2" t="str">
        <x:v>EXP-0048</x:v>
      </x:c>
      <x:c r="B49" s="8" t="d">
        <x:v>2026-06-18T00:00:00.000Z</x:v>
      </x:c>
      <x:c r="C49" s="2" t="str">
        <x:v>Jamie Wilson</x:v>
      </x:c>
      <x:c r="D49" s="2" t="str">
        <x:v>Corporate</x:v>
      </x:c>
      <x:c r="E49" s="2" t="str">
        <x:v>Supplies</x:v>
      </x:c>
      <x:c r="F49" s="2" t="str">
        <x:v>Office Depot</x:v>
      </x:c>
      <x:c r="G49" s="9" t="n">
        <x:v>1220.5</x:v>
      </x:c>
      <x:c r="H49" s="9" t="str">
        <x:v>Attached</x:v>
      </x:c>
      <x:c r="I49" s="9" t="str">
        <x:v>Approved</x:v>
      </x:c>
      <x:c r="J49" s="9" t="n">
        <x:v>1220.5</x:v>
      </x:c>
      <x:c r="K49" s="9" t="n">
        <x:v>1220.5</x:v>
      </x:c>
      <x:c r="L49" s="9" t="n">
        <x:f>'Policy'!$B$7</x:f>
        <x:v>250</x:v>
      </x:c>
      <x:c r="M49" s="9" t="n">
        <x:f>J49-K49</x:f>
        <x:v>0</x:v>
      </x:c>
      <x:c r="N49" s="9" t="n">
        <x:f>MAX(0,G49-L49)</x:f>
        <x:v>970.5</x:v>
      </x:c>
      <x:c r="O49" s="2" t="str">
        <x:f>IF(ABS(M49)&gt;0.01,"RECON",IF(N49&gt;0,"OVER LIMIT",IF(H49="Missing","MISSING RECEIPT",IF(I49&lt;&gt;"Approved","PENDING","CLEAR"))))</x:f>
        <x:v>OVER LIMIT</x:v>
      </x:c>
    </x:row>
  </x:sheetData>
  <x:conditionalFormatting sqref="O2:O49">
    <x:cfRule type="containsText" dxfId="0" priority="1" operator="containsText" text="RECON"/>
    <x:cfRule type="containsText" dxfId="1" priority="2" operator="containsText" text="OVER"/>
    <x:cfRule type="containsText" dxfId="2" priority="3" operator="containsText" text="CLEAR"/>
  </x:conditionalFormatting>
  <x:dataValidations count="4">
    <x:dataValidation type="list" sqref="D2:D49">
      <x:formula1>"Sales,Engineering,Operations,Corporate"</x:formula1>
    </x:dataValidation>
    <x:dataValidation type="list" sqref="E2:E49">
      <x:formula1>"Airfare,Lodging,Meals,Ground Transport,Software,Supplies"</x:formula1>
    </x:dataValidation>
    <x:dataValidation type="list" sqref="H2:H49">
      <x:formula1>"Attached,Missing"</x:formula1>
    </x:dataValidation>
    <x:dataValidation type="list" sqref="I2:I49">
      <x:formula1>"Approved,Pending,Rejected"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d5147d79d64cbb"/>
  </x:tableParts>
</x:worksheet>
</file>

<file path=xl/worksheets/sheet3.xml><?xml version="1.0" encoding="utf-8"?>
<x:worksheet xmlns:x="http://schemas.openxmlformats.org/spreadsheetml/2006/main">
  <x:sheetPr>
    <x:tabColor rgb="FF8EA9DB"/>
  </x:sheetPr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Category</x:v>
      </x:c>
      <x:c r="B1" s="6" t="str">
        <x:v>Per-item Limit</x:v>
      </x:c>
      <x:c r="C1" s="6" t="str">
        <x:v>Receipt Threshold</x:v>
      </x:c>
      <x:c r="D1" s="6" t="str">
        <x:v>Policy Owner</x:v>
      </x:c>
    </x:row>
    <x:row r="2">
      <x:c r="A2" s="2" t="str">
        <x:v>Airfare</x:v>
      </x:c>
      <x:c r="B2" s="7" t="n">
        <x:v>1200</x:v>
      </x:c>
      <x:c r="C2" s="7" t="n">
        <x:v>25</x:v>
      </x:c>
      <x:c r="D2" s="2" t="str">
        <x:v>Travel</x:v>
      </x:c>
    </x:row>
    <x:row r="3">
      <x:c r="A3" s="2" t="str">
        <x:v>Lodging</x:v>
      </x:c>
      <x:c r="B3" s="7" t="n">
        <x:v>350</x:v>
      </x:c>
      <x:c r="C3" s="7" t="n">
        <x:v>25</x:v>
      </x:c>
      <x:c r="D3" s="2" t="str">
        <x:v>Travel</x:v>
      </x:c>
    </x:row>
    <x:row r="4">
      <x:c r="A4" s="2" t="str">
        <x:v>Meals</x:v>
      </x:c>
      <x:c r="B4" s="7" t="n">
        <x:v>90</x:v>
      </x:c>
      <x:c r="C4" s="7" t="n">
        <x:v>25</x:v>
      </x:c>
      <x:c r="D4" s="2" t="str">
        <x:v>Finance</x:v>
      </x:c>
    </x:row>
    <x:row r="5">
      <x:c r="A5" s="2" t="str">
        <x:v>Ground Transport</x:v>
      </x:c>
      <x:c r="B5" s="7" t="n">
        <x:v>180</x:v>
      </x:c>
      <x:c r="C5" s="7" t="n">
        <x:v>25</x:v>
      </x:c>
      <x:c r="D5" s="2" t="str">
        <x:v>Finance</x:v>
      </x:c>
    </x:row>
    <x:row r="6">
      <x:c r="A6" s="2" t="str">
        <x:v>Software</x:v>
      </x:c>
      <x:c r="B6" s="7" t="n">
        <x:v>500</x:v>
      </x:c>
      <x:c r="C6" s="7" t="n">
        <x:v>0</x:v>
      </x:c>
      <x:c r="D6" s="2" t="str">
        <x:v>Finance</x:v>
      </x:c>
    </x:row>
    <x:row r="7">
      <x:c r="A7" s="2" t="str">
        <x:v>Supplies</x:v>
      </x:c>
      <x:c r="B7" s="7" t="n">
        <x:v>250</x:v>
      </x:c>
      <x:c r="C7" s="7" t="n">
        <x:v>25</x:v>
      </x:c>
      <x:c r="D7" s="2" t="str">
        <x:v>Finance</x:v>
      </x:c>
    </x:row>
  </x:sheetData>
  <x:pageMargins left="0.7" right="0.7" top="0.75" bottom="0.75" header="0.3" footer="0.3"/>
  <x:tableParts count="1">
    <x:tablePart xmlns:r="http://schemas.openxmlformats.org/officeDocument/2006/relationships" r:id="Rc9647fb040b344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>
      <x:c r="A2" s="18" t="str">
        <x:v>Expense approval and reconciliation queue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6" t="str">
        <x:v>Expense ID</x:v>
      </x:c>
      <x:c r="B4" s="6" t="str">
        <x:v>Employee</x:v>
      </x:c>
      <x:c r="C4" s="6" t="str">
        <x:v>Department</x:v>
      </x:c>
      <x:c r="D4" s="6" t="str">
        <x:v>Category</x:v>
      </x:c>
      <x:c r="E4" s="6" t="str">
        <x:v>Amount</x:v>
      </x:c>
      <x:c r="F4" s="6" t="str">
        <x:v>Approval</x:v>
      </x:c>
      <x:c r="G4" s="6" t="str">
        <x:v>Exception</x:v>
      </x:c>
      <x:c r="H4" s="6" t="str">
        <x:v>Variance</x:v>
      </x:c>
      <x:c r="I4" s="6" t="str">
        <x:v>Required Action</x:v>
      </x:c>
    </x:row>
    <x:row r="5">
      <x:c r="A5" s="2" t="str">
        <x:f>'Expense Register'!A2</x:f>
        <x:v>EXP-0001</x:v>
      </x:c>
      <x:c r="B5" s="2" t="str">
        <x:f>'Expense Register'!C2</x:f>
        <x:v>Avery Chen</x:v>
      </x:c>
      <x:c r="C5" s="2" t="str">
        <x:f>'Expense Register'!D2</x:f>
        <x:v>Sales</x:v>
      </x:c>
      <x:c r="D5" s="2" t="str">
        <x:f>'Expense Register'!E2</x:f>
        <x:v>Airfare</x:v>
      </x:c>
      <x:c r="E5" s="7" t="n">
        <x:f>'Expense Register'!G2</x:f>
        <x:v>1375</x:v>
      </x:c>
      <x:c r="F5" s="2" t="str">
        <x:f>'Expense Register'!I2</x:f>
        <x:v>Rejected</x:v>
      </x:c>
      <x:c r="G5" s="2" t="str">
        <x:f>'Expense Register'!O2</x:f>
        <x:v>RECON</x:v>
      </x:c>
      <x:c r="H5" s="9" t="n">
        <x:f>'Expense Register'!M2</x:f>
        <x:v>12.5</x:v>
      </x:c>
      <x:c r="I5" s="2" t="str">
        <x:f>IF(G5="CLEAR","None",IF(G5="RECON","Match card and ledger",IF(G5="OVER LIMIT","Manager review",IF(G5="MISSING RECEIPT","Attach receipt","Complete approval"))))</x:f>
        <x:v>Match card and ledger</x:v>
      </x:c>
    </x:row>
    <x:row r="6">
      <x:c r="A6" s="2" t="str">
        <x:f>'Expense Register'!A3</x:f>
        <x:v>EXP-0002</x:v>
      </x:c>
      <x:c r="B6" s="2" t="str">
        <x:f>'Expense Register'!C3</x:f>
        <x:v>Jordan Lee</x:v>
      </x:c>
      <x:c r="C6" s="2" t="str">
        <x:f>'Expense Register'!D3</x:f>
        <x:v>Engineering</x:v>
      </x:c>
      <x:c r="D6" s="2" t="str">
        <x:f>'Expense Register'!E3</x:f>
        <x:v>Lodging</x:v>
      </x:c>
      <x:c r="E6" s="7" t="n">
        <x:f>'Expense Register'!G3</x:f>
        <x:v>200.25</x:v>
      </x:c>
      <x:c r="F6" s="2" t="str">
        <x:f>'Expense Register'!I3</x:f>
        <x:v>Approved</x:v>
      </x:c>
      <x:c r="G6" s="2" t="str">
        <x:f>'Expense Register'!O3</x:f>
        <x:v>CLEAR</x:v>
      </x:c>
      <x:c r="H6" s="9" t="n">
        <x:f>'Expense Register'!M3</x:f>
        <x:v>0</x:v>
      </x:c>
      <x:c r="I6" s="2" t="str">
        <x:f>IF(G6="CLEAR","None",IF(G6="RECON","Match card and ledger",IF(G6="OVER LIMIT","Manager review",IF(G6="MISSING RECEIPT","Attach receipt","Complete approval"))))</x:f>
        <x:v>None</x:v>
      </x:c>
    </x:row>
    <x:row r="7">
      <x:c r="A7" s="2" t="str">
        <x:f>'Expense Register'!A4</x:f>
        <x:v>EXP-0003</x:v>
      </x:c>
      <x:c r="B7" s="2" t="str">
        <x:f>'Expense Register'!C4</x:f>
        <x:v>Morgan Patel</x:v>
      </x:c>
      <x:c r="C7" s="2" t="str">
        <x:f>'Expense Register'!D4</x:f>
        <x:v>Operations</x:v>
      </x:c>
      <x:c r="D7" s="2" t="str">
        <x:f>'Expense Register'!E4</x:f>
        <x:v>Meals</x:v>
      </x:c>
      <x:c r="E7" s="7" t="n">
        <x:f>'Expense Register'!G4</x:f>
        <x:v>355.5</x:v>
      </x:c>
      <x:c r="F7" s="2" t="str">
        <x:f>'Expense Register'!I4</x:f>
        <x:v>Approved</x:v>
      </x:c>
      <x:c r="G7" s="2" t="str">
        <x:f>'Expense Register'!O4</x:f>
        <x:v>OVER LIMIT</x:v>
      </x:c>
      <x:c r="H7" s="9" t="n">
        <x:f>'Expense Register'!M4</x:f>
        <x:v>0</x:v>
      </x:c>
      <x:c r="I7" s="2" t="str">
        <x:f>IF(G7="CLEAR","None",IF(G7="RECON","Match card and ledger",IF(G7="OVER LIMIT","Manager review",IF(G7="MISSING RECEIPT","Attach receipt","Complete approval"))))</x:f>
        <x:v>Manager review</x:v>
      </x:c>
    </x:row>
    <x:row r="8">
      <x:c r="A8" s="2" t="str">
        <x:f>'Expense Register'!A5</x:f>
        <x:v>EXP-0004</x:v>
      </x:c>
      <x:c r="B8" s="2" t="str">
        <x:f>'Expense Register'!C5</x:f>
        <x:v>Riley Smith</x:v>
      </x:c>
      <x:c r="C8" s="2" t="str">
        <x:f>'Expense Register'!D5</x:f>
        <x:v>Corporate</x:v>
      </x:c>
      <x:c r="D8" s="2" t="str">
        <x:f>'Expense Register'!E5</x:f>
        <x:v>Ground Transport</x:v>
      </x:c>
      <x:c r="E8" s="7" t="n">
        <x:f>'Expense Register'!G5</x:f>
        <x:v>510.75</x:v>
      </x:c>
      <x:c r="F8" s="2" t="str">
        <x:f>'Expense Register'!I5</x:f>
        <x:v>Approved</x:v>
      </x:c>
      <x:c r="G8" s="2" t="str">
        <x:f>'Expense Register'!O5</x:f>
        <x:v>OVER LIMIT</x:v>
      </x:c>
      <x:c r="H8" s="9" t="n">
        <x:f>'Expense Register'!M5</x:f>
        <x:v>0</x:v>
      </x:c>
      <x:c r="I8" s="2" t="str">
        <x:f>IF(G8="CLEAR","None",IF(G8="RECON","Match card and ledger",IF(G8="OVER LIMIT","Manager review",IF(G8="MISSING RECEIPT","Attach receipt","Complete approval"))))</x:f>
        <x:v>Manager review</x:v>
      </x:c>
    </x:row>
    <x:row r="9">
      <x:c r="A9" s="2" t="str">
        <x:f>'Expense Register'!A6</x:f>
        <x:v>EXP-0005</x:v>
      </x:c>
      <x:c r="B9" s="2" t="str">
        <x:f>'Expense Register'!C6</x:f>
        <x:v>Taylor Brooks</x:v>
      </x:c>
      <x:c r="C9" s="2" t="str">
        <x:f>'Expense Register'!D6</x:f>
        <x:v>Sales</x:v>
      </x:c>
      <x:c r="D9" s="2" t="str">
        <x:f>'Expense Register'!E6</x:f>
        <x:v>Software</x:v>
      </x:c>
      <x:c r="E9" s="7" t="n">
        <x:f>'Expense Register'!G6</x:f>
        <x:v>666</x:v>
      </x:c>
      <x:c r="F9" s="2" t="str">
        <x:f>'Expense Register'!I6</x:f>
        <x:v>Pending</x:v>
      </x:c>
      <x:c r="G9" s="2" t="str">
        <x:f>'Expense Register'!O6</x:f>
        <x:v>OVER LIMIT</x:v>
      </x:c>
      <x:c r="H9" s="9" t="n">
        <x:f>'Expense Register'!M6</x:f>
        <x:v>0</x:v>
      </x:c>
      <x:c r="I9" s="2" t="str">
        <x:f>IF(G9="CLEAR","None",IF(G9="RECON","Match card and ledger",IF(G9="OVER LIMIT","Manager review",IF(G9="MISSING RECEIPT","Attach receipt","Complete approval"))))</x:f>
        <x:v>Manager review</x:v>
      </x:c>
    </x:row>
    <x:row r="10">
      <x:c r="A10" s="2" t="str">
        <x:f>'Expense Register'!A7</x:f>
        <x:v>EXP-0006</x:v>
      </x:c>
      <x:c r="B10" s="2" t="str">
        <x:f>'Expense Register'!C7</x:f>
        <x:v>Casey Nguyen</x:v>
      </x:c>
      <x:c r="C10" s="2" t="str">
        <x:f>'Expense Register'!D7</x:f>
        <x:v>Engineering</x:v>
      </x:c>
      <x:c r="D10" s="2" t="str">
        <x:f>'Expense Register'!E7</x:f>
        <x:v>Supplies</x:v>
      </x:c>
      <x:c r="E10" s="7" t="n">
        <x:f>'Expense Register'!G7</x:f>
        <x:v>730</x:v>
      </x:c>
      <x:c r="F10" s="2" t="str">
        <x:f>'Expense Register'!I7</x:f>
        <x:v>Approved</x:v>
      </x:c>
      <x:c r="G10" s="2" t="str">
        <x:f>'Expense Register'!O7</x:f>
        <x:v>OVER LIMIT</x:v>
      </x:c>
      <x:c r="H10" s="9" t="n">
        <x:f>'Expense Register'!M7</x:f>
        <x:v>0</x:v>
      </x:c>
      <x:c r="I10" s="2" t="str">
        <x:f>IF(G10="CLEAR","None",IF(G10="RECON","Match card and ledger",IF(G10="OVER LIMIT","Manager review",IF(G10="MISSING RECEIPT","Attach receipt","Complete approval"))))</x:f>
        <x:v>Manager review</x:v>
      </x:c>
    </x:row>
    <x:row r="11">
      <x:c r="A11" s="2" t="str">
        <x:f>'Expense Register'!A8</x:f>
        <x:v>EXP-0007</x:v>
      </x:c>
      <x:c r="B11" s="2" t="str">
        <x:f>'Expense Register'!C8</x:f>
        <x:v>Sam Rivera</x:v>
      </x:c>
      <x:c r="C11" s="2" t="str">
        <x:f>'Expense Register'!D8</x:f>
        <x:v>Operations</x:v>
      </x:c>
      <x:c r="D11" s="2" t="str">
        <x:f>'Expense Register'!E8</x:f>
        <x:v>Airfare</x:v>
      </x:c>
      <x:c r="E11" s="7" t="n">
        <x:f>'Expense Register'!G8</x:f>
        <x:v>885.25</x:v>
      </x:c>
      <x:c r="F11" s="2" t="str">
        <x:f>'Expense Register'!I8</x:f>
        <x:v>Approved</x:v>
      </x:c>
      <x:c r="G11" s="2" t="str">
        <x:f>'Expense Register'!O8</x:f>
        <x:v>CLEAR</x:v>
      </x:c>
      <x:c r="H11" s="9" t="n">
        <x:f>'Expense Register'!M8</x:f>
        <x:v>0</x:v>
      </x:c>
      <x:c r="I11" s="2" t="str">
        <x:f>IF(G11="CLEAR","None",IF(G11="RECON","Match card and ledger",IF(G11="OVER LIMIT","Manager review",IF(G11="MISSING RECEIPT","Attach receipt","Complete approval"))))</x:f>
        <x:v>None</x:v>
      </x:c>
    </x:row>
    <x:row r="12">
      <x:c r="A12" s="2" t="str">
        <x:f>'Expense Register'!A9</x:f>
        <x:v>EXP-0008</x:v>
      </x:c>
      <x:c r="B12" s="2" t="str">
        <x:f>'Expense Register'!C9</x:f>
        <x:v>Jamie Wilson</x:v>
      </x:c>
      <x:c r="C12" s="2" t="str">
        <x:f>'Expense Register'!D9</x:f>
        <x:v>Corporate</x:v>
      </x:c>
      <x:c r="D12" s="2" t="str">
        <x:f>'Expense Register'!E9</x:f>
        <x:v>Lodging</x:v>
      </x:c>
      <x:c r="E12" s="7" t="n">
        <x:f>'Expense Register'!G9</x:f>
        <x:v>1040.5</x:v>
      </x:c>
      <x:c r="F12" s="2" t="str">
        <x:f>'Expense Register'!I9</x:f>
        <x:v>Approved</x:v>
      </x:c>
      <x:c r="G12" s="2" t="str">
        <x:f>'Expense Register'!O9</x:f>
        <x:v>OVER LIMIT</x:v>
      </x:c>
      <x:c r="H12" s="9" t="n">
        <x:f>'Expense Register'!M9</x:f>
        <x:v>0</x:v>
      </x:c>
      <x:c r="I12" s="2" t="str">
        <x:f>IF(G12="CLEAR","None",IF(G12="RECON","Match card and ledger",IF(G12="OVER LIMIT","Manager review",IF(G12="MISSING RECEIPT","Attach receipt","Complete approval"))))</x:f>
        <x:v>Manager review</x:v>
      </x:c>
    </x:row>
    <x:row r="13">
      <x:c r="A13" s="2" t="str">
        <x:f>'Expense Register'!A10</x:f>
        <x:v>EXP-0009</x:v>
      </x:c>
      <x:c r="B13" s="2" t="str">
        <x:f>'Expense Register'!C10</x:f>
        <x:v>Avery Chen</x:v>
      </x:c>
      <x:c r="C13" s="2" t="str">
        <x:f>'Expense Register'!D10</x:f>
        <x:v>Sales</x:v>
      </x:c>
      <x:c r="D13" s="2" t="str">
        <x:f>'Expense Register'!E10</x:f>
        <x:v>Meals</x:v>
      </x:c>
      <x:c r="E13" s="7" t="n">
        <x:f>'Expense Register'!G10</x:f>
        <x:v>1195.75</x:v>
      </x:c>
      <x:c r="F13" s="2" t="str">
        <x:f>'Expense Register'!I10</x:f>
        <x:v>Pending</x:v>
      </x:c>
      <x:c r="G13" s="2" t="str">
        <x:f>'Expense Register'!O10</x:f>
        <x:v>OVER LIMIT</x:v>
      </x:c>
      <x:c r="H13" s="9" t="n">
        <x:f>'Expense Register'!M10</x:f>
        <x:v>0</x:v>
      </x:c>
      <x:c r="I13" s="2" t="str">
        <x:f>IF(G13="CLEAR","None",IF(G13="RECON","Match card and ledger",IF(G13="OVER LIMIT","Manager review",IF(G13="MISSING RECEIPT","Attach receipt","Complete approval"))))</x:f>
        <x:v>Manager review</x:v>
      </x:c>
    </x:row>
    <x:row r="14">
      <x:c r="A14" s="2" t="str">
        <x:f>'Expense Register'!A11</x:f>
        <x:v>EXP-0010</x:v>
      </x:c>
      <x:c r="B14" s="2" t="str">
        <x:f>'Expense Register'!C11</x:f>
        <x:v>Jordan Lee</x:v>
      </x:c>
      <x:c r="C14" s="2" t="str">
        <x:f>'Expense Register'!D11</x:f>
        <x:v>Engineering</x:v>
      </x:c>
      <x:c r="D14" s="2" t="str">
        <x:f>'Expense Register'!E11</x:f>
        <x:v>Ground Transport</x:v>
      </x:c>
      <x:c r="E14" s="7" t="n">
        <x:f>'Expense Register'!G11</x:f>
        <x:v>1351</x:v>
      </x:c>
      <x:c r="F14" s="2" t="str">
        <x:f>'Expense Register'!I11</x:f>
        <x:v>Approved</x:v>
      </x:c>
      <x:c r="G14" s="2" t="str">
        <x:f>'Expense Register'!O11</x:f>
        <x:v>OVER LIMIT</x:v>
      </x:c>
      <x:c r="H14" s="9" t="n">
        <x:f>'Expense Register'!M11</x:f>
        <x:v>0</x:v>
      </x:c>
      <x:c r="I14" s="2" t="str">
        <x:f>IF(G14="CLEAR","None",IF(G14="RECON","Match card and ledger",IF(G14="OVER LIMIT","Manager review",IF(G14="MISSING RECEIPT","Attach receipt","Complete approval"))))</x:f>
        <x:v>Manager review</x:v>
      </x:c>
    </x:row>
    <x:row r="15">
      <x:c r="A15" s="2" t="str">
        <x:f>'Expense Register'!A12</x:f>
        <x:v>EXP-0011</x:v>
      </x:c>
      <x:c r="B15" s="2" t="str">
        <x:f>'Expense Register'!C12</x:f>
        <x:v>Morgan Patel</x:v>
      </x:c>
      <x:c r="C15" s="2" t="str">
        <x:f>'Expense Register'!D12</x:f>
        <x:v>Operations</x:v>
      </x:c>
      <x:c r="D15" s="2" t="str">
        <x:f>'Expense Register'!E12</x:f>
        <x:v>Software</x:v>
      </x:c>
      <x:c r="E15" s="7" t="n">
        <x:f>'Expense Register'!G12</x:f>
        <x:v>90</x:v>
      </x:c>
      <x:c r="F15" s="2" t="str">
        <x:f>'Expense Register'!I12</x:f>
        <x:v>Rejected</x:v>
      </x:c>
      <x:c r="G15" s="2" t="str">
        <x:f>'Expense Register'!O12</x:f>
        <x:v>PENDING</x:v>
      </x:c>
      <x:c r="H15" s="9" t="n">
        <x:f>'Expense Register'!M12</x:f>
        <x:v>0</x:v>
      </x:c>
      <x:c r="I15" s="2" t="str">
        <x:f>IF(G15="CLEAR","None",IF(G15="RECON","Match card and ledger",IF(G15="OVER LIMIT","Manager review",IF(G15="MISSING RECEIPT","Attach receipt","Complete approval"))))</x:f>
        <x:v>Complete approval</x:v>
      </x:c>
    </x:row>
    <x:row r="16">
      <x:c r="A16" s="2" t="str">
        <x:f>'Expense Register'!A13</x:f>
        <x:v>EXP-0012</x:v>
      </x:c>
      <x:c r="B16" s="2" t="str">
        <x:f>'Expense Register'!C13</x:f>
        <x:v>Riley Smith</x:v>
      </x:c>
      <x:c r="C16" s="2" t="str">
        <x:f>'Expense Register'!D13</x:f>
        <x:v>Corporate</x:v>
      </x:c>
      <x:c r="D16" s="2" t="str">
        <x:f>'Expense Register'!E13</x:f>
        <x:v>Supplies</x:v>
      </x:c>
      <x:c r="E16" s="7" t="n">
        <x:f>'Expense Register'!G13</x:f>
        <x:v>245.25</x:v>
      </x:c>
      <x:c r="F16" s="2" t="str">
        <x:f>'Expense Register'!I13</x:f>
        <x:v>Approved</x:v>
      </x:c>
      <x:c r="G16" s="2" t="str">
        <x:f>'Expense Register'!O13</x:f>
        <x:v>RECON</x:v>
      </x:c>
      <x:c r="H16" s="9" t="n">
        <x:f>'Expense Register'!M13</x:f>
        <x:v>12.5</x:v>
      </x:c>
      <x:c r="I16" s="2" t="str">
        <x:f>IF(G16="CLEAR","None",IF(G16="RECON","Match card and ledger",IF(G16="OVER LIMIT","Manager review",IF(G16="MISSING RECEIPT","Attach receipt","Complete approval"))))</x:f>
        <x:v>Match card and ledger</x:v>
      </x:c>
    </x:row>
    <x:row r="17">
      <x:c r="A17" s="2" t="str">
        <x:f>'Expense Register'!A14</x:f>
        <x:v>EXP-0013</x:v>
      </x:c>
      <x:c r="B17" s="2" t="str">
        <x:f>'Expense Register'!C14</x:f>
        <x:v>Taylor Brooks</x:v>
      </x:c>
      <x:c r="C17" s="2" t="str">
        <x:f>'Expense Register'!D14</x:f>
        <x:v>Sales</x:v>
      </x:c>
      <x:c r="D17" s="2" t="str">
        <x:f>'Expense Register'!E14</x:f>
        <x:v>Airfare</x:v>
      </x:c>
      <x:c r="E17" s="7" t="n">
        <x:f>'Expense Register'!G14</x:f>
        <x:v>400.5</x:v>
      </x:c>
      <x:c r="F17" s="2" t="str">
        <x:f>'Expense Register'!I14</x:f>
        <x:v>Pending</x:v>
      </x:c>
      <x:c r="G17" s="2" t="str">
        <x:f>'Expense Register'!O14</x:f>
        <x:v>PENDING</x:v>
      </x:c>
      <x:c r="H17" s="9" t="n">
        <x:f>'Expense Register'!M14</x:f>
        <x:v>0</x:v>
      </x:c>
      <x:c r="I17" s="2" t="str">
        <x:f>IF(G17="CLEAR","None",IF(G17="RECON","Match card and ledger",IF(G17="OVER LIMIT","Manager review",IF(G17="MISSING RECEIPT","Attach receipt","Complete approval"))))</x:f>
        <x:v>Complete approval</x:v>
      </x:c>
    </x:row>
    <x:row r="18">
      <x:c r="A18" s="2" t="str">
        <x:f>'Expense Register'!A15</x:f>
        <x:v>EXP-0014</x:v>
      </x:c>
      <x:c r="B18" s="2" t="str">
        <x:f>'Expense Register'!C15</x:f>
        <x:v>Casey Nguyen</x:v>
      </x:c>
      <x:c r="C18" s="2" t="str">
        <x:f>'Expense Register'!D15</x:f>
        <x:v>Engineering</x:v>
      </x:c>
      <x:c r="D18" s="2" t="str">
        <x:f>'Expense Register'!E15</x:f>
        <x:v>Lodging</x:v>
      </x:c>
      <x:c r="E18" s="7" t="n">
        <x:f>'Expense Register'!G15</x:f>
        <x:v>560</x:v>
      </x:c>
      <x:c r="F18" s="2" t="str">
        <x:f>'Expense Register'!I15</x:f>
        <x:v>Approved</x:v>
      </x:c>
      <x:c r="G18" s="2" t="str">
        <x:f>'Expense Register'!O15</x:f>
        <x:v>OVER LIMIT</x:v>
      </x:c>
      <x:c r="H18" s="9" t="n">
        <x:f>'Expense Register'!M15</x:f>
        <x:v>0</x:v>
      </x:c>
      <x:c r="I18" s="2" t="str">
        <x:f>IF(G18="CLEAR","None",IF(G18="RECON","Match card and ledger",IF(G18="OVER LIMIT","Manager review",IF(G18="MISSING RECEIPT","Attach receipt","Complete approval"))))</x:f>
        <x:v>Manager review</x:v>
      </x:c>
    </x:row>
    <x:row r="19">
      <x:c r="A19" s="2" t="str">
        <x:f>'Expense Register'!A16</x:f>
        <x:v>EXP-0015</x:v>
      </x:c>
      <x:c r="B19" s="2" t="str">
        <x:f>'Expense Register'!C16</x:f>
        <x:v>Sam Rivera</x:v>
      </x:c>
      <x:c r="C19" s="2" t="str">
        <x:f>'Expense Register'!D16</x:f>
        <x:v>Operations</x:v>
      </x:c>
      <x:c r="D19" s="2" t="str">
        <x:f>'Expense Register'!E16</x:f>
        <x:v>Meals</x:v>
      </x:c>
      <x:c r="E19" s="7" t="n">
        <x:f>'Expense Register'!G16</x:f>
        <x:v>711</x:v>
      </x:c>
      <x:c r="F19" s="2" t="str">
        <x:f>'Expense Register'!I16</x:f>
        <x:v>Approved</x:v>
      </x:c>
      <x:c r="G19" s="2" t="str">
        <x:f>'Expense Register'!O16</x:f>
        <x:v>OVER LIMIT</x:v>
      </x:c>
      <x:c r="H19" s="9" t="n">
        <x:f>'Expense Register'!M16</x:f>
        <x:v>0</x:v>
      </x:c>
      <x:c r="I19" s="2" t="str">
        <x:f>IF(G19="CLEAR","None",IF(G19="RECON","Match card and ledger",IF(G19="OVER LIMIT","Manager review",IF(G19="MISSING RECEIPT","Attach receipt","Complete approval"))))</x:f>
        <x:v>Manager review</x:v>
      </x:c>
    </x:row>
    <x:row r="20">
      <x:c r="A20" s="2" t="str">
        <x:f>'Expense Register'!A17</x:f>
        <x:v>EXP-0016</x:v>
      </x:c>
      <x:c r="B20" s="2" t="str">
        <x:f>'Expense Register'!C17</x:f>
        <x:v>Jamie Wilson</x:v>
      </x:c>
      <x:c r="C20" s="2" t="str">
        <x:f>'Expense Register'!D17</x:f>
        <x:v>Corporate</x:v>
      </x:c>
      <x:c r="D20" s="2" t="str">
        <x:f>'Expense Register'!E17</x:f>
        <x:v>Ground Transport</x:v>
      </x:c>
      <x:c r="E20" s="7" t="n">
        <x:f>'Expense Register'!G17</x:f>
        <x:v>775</x:v>
      </x:c>
      <x:c r="F20" s="2" t="str">
        <x:f>'Expense Register'!I17</x:f>
        <x:v>Approved</x:v>
      </x:c>
      <x:c r="G20" s="2" t="str">
        <x:f>'Expense Register'!O17</x:f>
        <x:v>OVER LIMIT</x:v>
      </x:c>
      <x:c r="H20" s="9" t="n">
        <x:f>'Expense Register'!M17</x:f>
        <x:v>0</x:v>
      </x:c>
      <x:c r="I20" s="2" t="str">
        <x:f>IF(G20="CLEAR","None",IF(G20="RECON","Match card and ledger",IF(G20="OVER LIMIT","Manager review",IF(G20="MISSING RECEIPT","Attach receipt","Complete approval"))))</x:f>
        <x:v>Manager review</x:v>
      </x:c>
    </x:row>
    <x:row r="21">
      <x:c r="A21" s="2" t="str">
        <x:f>'Expense Register'!A18</x:f>
        <x:v>EXP-0017</x:v>
      </x:c>
      <x:c r="B21" s="2" t="str">
        <x:f>'Expense Register'!C18</x:f>
        <x:v>Avery Chen</x:v>
      </x:c>
      <x:c r="C21" s="2" t="str">
        <x:f>'Expense Register'!D18</x:f>
        <x:v>Sales</x:v>
      </x:c>
      <x:c r="D21" s="2" t="str">
        <x:f>'Expense Register'!E18</x:f>
        <x:v>Software</x:v>
      </x:c>
      <x:c r="E21" s="7" t="n">
        <x:f>'Expense Register'!G18</x:f>
        <x:v>930.25</x:v>
      </x:c>
      <x:c r="F21" s="2" t="str">
        <x:f>'Expense Register'!I18</x:f>
        <x:v>Pending</x:v>
      </x:c>
      <x:c r="G21" s="2" t="str">
        <x:f>'Expense Register'!O18</x:f>
        <x:v>OVER LIMIT</x:v>
      </x:c>
      <x:c r="H21" s="9" t="n">
        <x:f>'Expense Register'!M18</x:f>
        <x:v>0</x:v>
      </x:c>
      <x:c r="I21" s="2" t="str">
        <x:f>IF(G21="CLEAR","None",IF(G21="RECON","Match card and ledger",IF(G21="OVER LIMIT","Manager review",IF(G21="MISSING RECEIPT","Attach receipt","Complete approval"))))</x:f>
        <x:v>Manager review</x:v>
      </x:c>
    </x:row>
    <x:row r="22">
      <x:c r="A22" s="2" t="str">
        <x:f>'Expense Register'!A19</x:f>
        <x:v>EXP-0018</x:v>
      </x:c>
      <x:c r="B22" s="2" t="str">
        <x:f>'Expense Register'!C19</x:f>
        <x:v>Jordan Lee</x:v>
      </x:c>
      <x:c r="C22" s="2" t="str">
        <x:f>'Expense Register'!D19</x:f>
        <x:v>Engineering</x:v>
      </x:c>
      <x:c r="D22" s="2" t="str">
        <x:f>'Expense Register'!E19</x:f>
        <x:v>Supplies</x:v>
      </x:c>
      <x:c r="E22" s="7" t="n">
        <x:f>'Expense Register'!G19</x:f>
        <x:v>1085.5</x:v>
      </x:c>
      <x:c r="F22" s="2" t="str">
        <x:f>'Expense Register'!I19</x:f>
        <x:v>Approved</x:v>
      </x:c>
      <x:c r="G22" s="2" t="str">
        <x:f>'Expense Register'!O19</x:f>
        <x:v>RECON</x:v>
      </x:c>
      <x:c r="H22" s="9" t="n">
        <x:f>'Expense Register'!M19</x:f>
        <x:v>-7.25</x:v>
      </x:c>
      <x:c r="I22" s="2" t="str">
        <x:f>IF(G22="CLEAR","None",IF(G22="RECON","Match card and ledger",IF(G22="OVER LIMIT","Manager review",IF(G22="MISSING RECEIPT","Attach receipt","Complete approval"))))</x:f>
        <x:v>Match card and ledger</x:v>
      </x:c>
    </x:row>
    <x:row r="23">
      <x:c r="A23" s="2" t="str">
        <x:f>'Expense Register'!A20</x:f>
        <x:v>EXP-0019</x:v>
      </x:c>
      <x:c r="B23" s="2" t="str">
        <x:f>'Expense Register'!C20</x:f>
        <x:v>Morgan Patel</x:v>
      </x:c>
      <x:c r="C23" s="2" t="str">
        <x:f>'Expense Register'!D20</x:f>
        <x:v>Operations</x:v>
      </x:c>
      <x:c r="D23" s="2" t="str">
        <x:f>'Expense Register'!E20</x:f>
        <x:v>Airfare</x:v>
      </x:c>
      <x:c r="E23" s="7" t="n">
        <x:f>'Expense Register'!G20</x:f>
        <x:v>1240.75</x:v>
      </x:c>
      <x:c r="F23" s="2" t="str">
        <x:f>'Expense Register'!I20</x:f>
        <x:v>Approved</x:v>
      </x:c>
      <x:c r="G23" s="2" t="str">
        <x:f>'Expense Register'!O20</x:f>
        <x:v>OVER LIMIT</x:v>
      </x:c>
      <x:c r="H23" s="9" t="n">
        <x:f>'Expense Register'!M20</x:f>
        <x:v>0</x:v>
      </x:c>
      <x:c r="I23" s="2" t="str">
        <x:f>IF(G23="CLEAR","None",IF(G23="RECON","Match card and ledger",IF(G23="OVER LIMIT","Manager review",IF(G23="MISSING RECEIPT","Attach receipt","Complete approval"))))</x:f>
        <x:v>Manager review</x:v>
      </x:c>
    </x:row>
    <x:row r="24">
      <x:c r="A24" s="2" t="str">
        <x:f>'Expense Register'!A21</x:f>
        <x:v>EXP-0020</x:v>
      </x:c>
      <x:c r="B24" s="2" t="str">
        <x:f>'Expense Register'!C21</x:f>
        <x:v>Riley Smith</x:v>
      </x:c>
      <x:c r="C24" s="2" t="str">
        <x:f>'Expense Register'!D21</x:f>
        <x:v>Corporate</x:v>
      </x:c>
      <x:c r="D24" s="2" t="str">
        <x:f>'Expense Register'!E21</x:f>
        <x:v>Lodging</x:v>
      </x:c>
      <x:c r="E24" s="7" t="n">
        <x:f>'Expense Register'!G21</x:f>
        <x:v>1396</x:v>
      </x:c>
      <x:c r="F24" s="2" t="str">
        <x:f>'Expense Register'!I21</x:f>
        <x:v>Approved</x:v>
      </x:c>
      <x:c r="G24" s="2" t="str">
        <x:f>'Expense Register'!O21</x:f>
        <x:v>OVER LIMIT</x:v>
      </x:c>
      <x:c r="H24" s="9" t="n">
        <x:f>'Expense Register'!M21</x:f>
        <x:v>0</x:v>
      </x:c>
      <x:c r="I24" s="2" t="str">
        <x:f>IF(G24="CLEAR","None",IF(G24="RECON","Match card and ledger",IF(G24="OVER LIMIT","Manager review",IF(G24="MISSING RECEIPT","Attach receipt","Complete approval"))))</x:f>
        <x:v>Manager review</x:v>
      </x:c>
    </x:row>
    <x:row r="25">
      <x:c r="A25" s="2" t="str">
        <x:f>'Expense Register'!A22</x:f>
        <x:v>EXP-0021</x:v>
      </x:c>
      <x:c r="B25" s="2" t="str">
        <x:f>'Expense Register'!C22</x:f>
        <x:v>Taylor Brooks</x:v>
      </x:c>
      <x:c r="C25" s="2" t="str">
        <x:f>'Expense Register'!D22</x:f>
        <x:v>Sales</x:v>
      </x:c>
      <x:c r="D25" s="2" t="str">
        <x:f>'Expense Register'!E22</x:f>
        <x:v>Meals</x:v>
      </x:c>
      <x:c r="E25" s="7" t="n">
        <x:f>'Expense Register'!G22</x:f>
        <x:v>135</x:v>
      </x:c>
      <x:c r="F25" s="2" t="str">
        <x:f>'Expense Register'!I22</x:f>
        <x:v>Rejected</x:v>
      </x:c>
      <x:c r="G25" s="2" t="str">
        <x:f>'Expense Register'!O22</x:f>
        <x:v>OVER LIMIT</x:v>
      </x:c>
      <x:c r="H25" s="9" t="n">
        <x:f>'Expense Register'!M22</x:f>
        <x:v>0</x:v>
      </x:c>
      <x:c r="I25" s="2" t="str">
        <x:f>IF(G25="CLEAR","None",IF(G25="RECON","Match card and ledger",IF(G25="OVER LIMIT","Manager review",IF(G25="MISSING RECEIPT","Attach receipt","Complete approval"))))</x:f>
        <x:v>Manager review</x:v>
      </x:c>
    </x:row>
    <x:row r="26">
      <x:c r="A26" s="2" t="str">
        <x:f>'Expense Register'!A23</x:f>
        <x:v>EXP-0022</x:v>
      </x:c>
      <x:c r="B26" s="2" t="str">
        <x:f>'Expense Register'!C23</x:f>
        <x:v>Casey Nguyen</x:v>
      </x:c>
      <x:c r="C26" s="2" t="str">
        <x:f>'Expense Register'!D23</x:f>
        <x:v>Engineering</x:v>
      </x:c>
      <x:c r="D26" s="2" t="str">
        <x:f>'Expense Register'!E23</x:f>
        <x:v>Ground Transport</x:v>
      </x:c>
      <x:c r="E26" s="7" t="n">
        <x:f>'Expense Register'!G23</x:f>
        <x:v>290.25</x:v>
      </x:c>
      <x:c r="F26" s="2" t="str">
        <x:f>'Expense Register'!I23</x:f>
        <x:v>Approved</x:v>
      </x:c>
      <x:c r="G26" s="2" t="str">
        <x:f>'Expense Register'!O23</x:f>
        <x:v>OVER LIMIT</x:v>
      </x:c>
      <x:c r="H26" s="9" t="n">
        <x:f>'Expense Register'!M23</x:f>
        <x:v>0</x:v>
      </x:c>
      <x:c r="I26" s="2" t="str">
        <x:f>IF(G26="CLEAR","None",IF(G26="RECON","Match card and ledger",IF(G26="OVER LIMIT","Manager review",IF(G26="MISSING RECEIPT","Attach receipt","Complete approval"))))</x:f>
        <x:v>Manager review</x:v>
      </x:c>
    </x:row>
    <x:row r="27">
      <x:c r="A27" s="2" t="str">
        <x:f>'Expense Register'!A24</x:f>
        <x:v>EXP-0023</x:v>
      </x:c>
      <x:c r="B27" s="2" t="str">
        <x:f>'Expense Register'!C24</x:f>
        <x:v>Sam Rivera</x:v>
      </x:c>
      <x:c r="C27" s="2" t="str">
        <x:f>'Expense Register'!D24</x:f>
        <x:v>Operations</x:v>
      </x:c>
      <x:c r="D27" s="2" t="str">
        <x:f>'Expense Register'!E24</x:f>
        <x:v>Software</x:v>
      </x:c>
      <x:c r="E27" s="7" t="n">
        <x:f>'Expense Register'!G24</x:f>
        <x:v>445.5</x:v>
      </x:c>
      <x:c r="F27" s="2" t="str">
        <x:f>'Expense Register'!I24</x:f>
        <x:v>Approved</x:v>
      </x:c>
      <x:c r="G27" s="2" t="str">
        <x:f>'Expense Register'!O24</x:f>
        <x:v>RECON</x:v>
      </x:c>
      <x:c r="H27" s="9" t="n">
        <x:f>'Expense Register'!M24</x:f>
        <x:v>12.5</x:v>
      </x:c>
      <x:c r="I27" s="2" t="str">
        <x:f>IF(G27="CLEAR","None",IF(G27="RECON","Match card and ledger",IF(G27="OVER LIMIT","Manager review",IF(G27="MISSING RECEIPT","Attach receipt","Complete approval"))))</x:f>
        <x:v>Match card and ledger</x:v>
      </x:c>
    </x:row>
    <x:row r="28">
      <x:c r="A28" s="2" t="str">
        <x:f>'Expense Register'!A25</x:f>
        <x:v>EXP-0024</x:v>
      </x:c>
      <x:c r="B28" s="2" t="str">
        <x:f>'Expense Register'!C25</x:f>
        <x:v>Jamie Wilson</x:v>
      </x:c>
      <x:c r="C28" s="2" t="str">
        <x:f>'Expense Register'!D25</x:f>
        <x:v>Corporate</x:v>
      </x:c>
      <x:c r="D28" s="2" t="str">
        <x:f>'Expense Register'!E25</x:f>
        <x:v>Supplies</x:v>
      </x:c>
      <x:c r="E28" s="7" t="n">
        <x:f>'Expense Register'!G25</x:f>
        <x:v>600.75</x:v>
      </x:c>
      <x:c r="F28" s="2" t="str">
        <x:f>'Expense Register'!I25</x:f>
        <x:v>Approved</x:v>
      </x:c>
      <x:c r="G28" s="2" t="str">
        <x:f>'Expense Register'!O25</x:f>
        <x:v>OVER LIMIT</x:v>
      </x:c>
      <x:c r="H28" s="9" t="n">
        <x:f>'Expense Register'!M25</x:f>
        <x:v>0</x:v>
      </x:c>
      <x:c r="I28" s="2" t="str">
        <x:f>IF(G28="CLEAR","None",IF(G28="RECON","Match card and ledger",IF(G28="OVER LIMIT","Manager review",IF(G28="MISSING RECEIPT","Attach receipt","Complete approval"))))</x:f>
        <x:v>Manager review</x:v>
      </x:c>
    </x:row>
    <x:row r="29">
      <x:c r="A29" s="2" t="str">
        <x:f>'Expense Register'!A26</x:f>
        <x:v>EXP-0025</x:v>
      </x:c>
      <x:c r="B29" s="2" t="str">
        <x:f>'Expense Register'!C26</x:f>
        <x:v>Avery Chen</x:v>
      </x:c>
      <x:c r="C29" s="2" t="str">
        <x:f>'Expense Register'!D26</x:f>
        <x:v>Sales</x:v>
      </x:c>
      <x:c r="D29" s="2" t="str">
        <x:f>'Expense Register'!E26</x:f>
        <x:v>Airfare</x:v>
      </x:c>
      <x:c r="E29" s="7" t="n">
        <x:f>'Expense Register'!G26</x:f>
        <x:v>756</x:v>
      </x:c>
      <x:c r="F29" s="2" t="str">
        <x:f>'Expense Register'!I26</x:f>
        <x:v>Pending</x:v>
      </x:c>
      <x:c r="G29" s="2" t="str">
        <x:f>'Expense Register'!O26</x:f>
        <x:v>PENDING</x:v>
      </x:c>
      <x:c r="H29" s="9" t="n">
        <x:f>'Expense Register'!M26</x:f>
        <x:v>0</x:v>
      </x:c>
      <x:c r="I29" s="2" t="str">
        <x:f>IF(G29="CLEAR","None",IF(G29="RECON","Match card and ledger",IF(G29="OVER LIMIT","Manager review",IF(G29="MISSING RECEIPT","Attach receipt","Complete approval"))))</x:f>
        <x:v>Complete approval</x:v>
      </x:c>
    </x:row>
    <x:row r="30">
      <x:c r="A30" s="2" t="str">
        <x:f>'Expense Register'!A27</x:f>
        <x:v>EXP-0026</x:v>
      </x:c>
      <x:c r="B30" s="2" t="str">
        <x:f>'Expense Register'!C27</x:f>
        <x:v>Jordan Lee</x:v>
      </x:c>
      <x:c r="C30" s="2" t="str">
        <x:f>'Expense Register'!D27</x:f>
        <x:v>Engineering</x:v>
      </x:c>
      <x:c r="D30" s="2" t="str">
        <x:f>'Expense Register'!E27</x:f>
        <x:v>Lodging</x:v>
      </x:c>
      <x:c r="E30" s="7" t="n">
        <x:f>'Expense Register'!G27</x:f>
        <x:v>820</x:v>
      </x:c>
      <x:c r="F30" s="2" t="str">
        <x:f>'Expense Register'!I27</x:f>
        <x:v>Approved</x:v>
      </x:c>
      <x:c r="G30" s="2" t="str">
        <x:f>'Expense Register'!O27</x:f>
        <x:v>OVER LIMIT</x:v>
      </x:c>
      <x:c r="H30" s="9" t="n">
        <x:f>'Expense Register'!M27</x:f>
        <x:v>0</x:v>
      </x:c>
      <x:c r="I30" s="2" t="str">
        <x:f>IF(G30="CLEAR","None",IF(G30="RECON","Match card and ledger",IF(G30="OVER LIMIT","Manager review",IF(G30="MISSING RECEIPT","Attach receipt","Complete approval"))))</x:f>
        <x:v>Manager review</x:v>
      </x:c>
    </x:row>
    <x:row r="31">
      <x:c r="A31" s="2" t="str">
        <x:f>'Expense Register'!A28</x:f>
        <x:v>EXP-0027</x:v>
      </x:c>
      <x:c r="B31" s="2" t="str">
        <x:f>'Expense Register'!C28</x:f>
        <x:v>Morgan Patel</x:v>
      </x:c>
      <x:c r="C31" s="2" t="str">
        <x:f>'Expense Register'!D28</x:f>
        <x:v>Operations</x:v>
      </x:c>
      <x:c r="D31" s="2" t="str">
        <x:f>'Expense Register'!E28</x:f>
        <x:v>Meals</x:v>
      </x:c>
      <x:c r="E31" s="7" t="n">
        <x:f>'Expense Register'!G28</x:f>
        <x:v>335</x:v>
      </x:c>
      <x:c r="F31" s="2" t="str">
        <x:f>'Expense Register'!I28</x:f>
        <x:v>Approved</x:v>
      </x:c>
      <x:c r="G31" s="2" t="str">
        <x:f>'Expense Register'!O28</x:f>
        <x:v>OVER LIMIT</x:v>
      </x:c>
      <x:c r="H31" s="9" t="n">
        <x:f>'Expense Register'!M28</x:f>
        <x:v>0</x:v>
      </x:c>
      <x:c r="I31" s="2" t="str">
        <x:f>IF(G31="CLEAR","None",IF(G31="RECON","Match card and ledger",IF(G31="OVER LIMIT","Manager review",IF(G31="MISSING RECEIPT","Attach receipt","Complete approval"))))</x:f>
        <x:v>Manager review</x:v>
      </x:c>
    </x:row>
    <x:row r="32">
      <x:c r="A32" s="2" t="str">
        <x:f>'Expense Register'!A29</x:f>
        <x:v>EXP-0028</x:v>
      </x:c>
      <x:c r="B32" s="2" t="str">
        <x:f>'Expense Register'!C29</x:f>
        <x:v>Riley Smith</x:v>
      </x:c>
      <x:c r="C32" s="2" t="str">
        <x:f>'Expense Register'!D29</x:f>
        <x:v>Corporate</x:v>
      </x:c>
      <x:c r="D32" s="2" t="str">
        <x:f>'Expense Register'!E29</x:f>
        <x:v>Ground Transport</x:v>
      </x:c>
      <x:c r="E32" s="7" t="n">
        <x:f>'Expense Register'!G29</x:f>
        <x:v>1130.5</x:v>
      </x:c>
      <x:c r="F32" s="2" t="str">
        <x:f>'Expense Register'!I29</x:f>
        <x:v>Approved</x:v>
      </x:c>
      <x:c r="G32" s="2" t="str">
        <x:f>'Expense Register'!O29</x:f>
        <x:v>OVER LIMIT</x:v>
      </x:c>
      <x:c r="H32" s="9" t="n">
        <x:f>'Expense Register'!M29</x:f>
        <x:v>0</x:v>
      </x:c>
      <x:c r="I32" s="2" t="str">
        <x:f>IF(G32="CLEAR","None",IF(G32="RECON","Match card and ledger",IF(G32="OVER LIMIT","Manager review",IF(G32="MISSING RECEIPT","Attach receipt","Complete approval"))))</x:f>
        <x:v>Manager review</x:v>
      </x:c>
    </x:row>
    <x:row r="33">
      <x:c r="A33" s="2" t="str">
        <x:f>'Expense Register'!A30</x:f>
        <x:v>EXP-0029</x:v>
      </x:c>
      <x:c r="B33" s="2" t="str">
        <x:f>'Expense Register'!C30</x:f>
        <x:v>Taylor Brooks</x:v>
      </x:c>
      <x:c r="C33" s="2" t="str">
        <x:f>'Expense Register'!D30</x:f>
        <x:v>Sales</x:v>
      </x:c>
      <x:c r="D33" s="2" t="str">
        <x:f>'Expense Register'!E30</x:f>
        <x:v>Software</x:v>
      </x:c>
      <x:c r="E33" s="7" t="n">
        <x:f>'Expense Register'!G30</x:f>
        <x:v>1285.75</x:v>
      </x:c>
      <x:c r="F33" s="2" t="str">
        <x:f>'Expense Register'!I30</x:f>
        <x:v>Pending</x:v>
      </x:c>
      <x:c r="G33" s="2" t="str">
        <x:f>'Expense Register'!O30</x:f>
        <x:v>OVER LIMIT</x:v>
      </x:c>
      <x:c r="H33" s="9" t="n">
        <x:f>'Expense Register'!M30</x:f>
        <x:v>0</x:v>
      </x:c>
      <x:c r="I33" s="2" t="str">
        <x:f>IF(G33="CLEAR","None",IF(G33="RECON","Match card and ledger",IF(G33="OVER LIMIT","Manager review",IF(G33="MISSING RECEIPT","Attach receipt","Complete approval"))))</x:f>
        <x:v>Manager review</x:v>
      </x:c>
    </x:row>
    <x:row r="34">
      <x:c r="A34" s="2" t="str">
        <x:f>'Expense Register'!A31</x:f>
        <x:v>EXP-0030</x:v>
      </x:c>
      <x:c r="B34" s="2" t="str">
        <x:f>'Expense Register'!C31</x:f>
        <x:v>Casey Nguyen</x:v>
      </x:c>
      <x:c r="C34" s="2" t="str">
        <x:f>'Expense Register'!D31</x:f>
        <x:v>Engineering</x:v>
      </x:c>
      <x:c r="D34" s="2" t="str">
        <x:f>'Expense Register'!E31</x:f>
        <x:v>Supplies</x:v>
      </x:c>
      <x:c r="E34" s="7" t="n">
        <x:f>'Expense Register'!G31</x:f>
        <x:v>1441</x:v>
      </x:c>
      <x:c r="F34" s="2" t="str">
        <x:f>'Expense Register'!I31</x:f>
        <x:v>Approved</x:v>
      </x:c>
      <x:c r="G34" s="2" t="str">
        <x:f>'Expense Register'!O31</x:f>
        <x:v>OVER LIMIT</x:v>
      </x:c>
      <x:c r="H34" s="9" t="n">
        <x:f>'Expense Register'!M31</x:f>
        <x:v>0</x:v>
      </x:c>
      <x:c r="I34" s="2" t="str">
        <x:f>IF(G34="CLEAR","None",IF(G34="RECON","Match card and ledger",IF(G34="OVER LIMIT","Manager review",IF(G34="MISSING RECEIPT","Attach receipt","Complete approval"))))</x:f>
        <x:v>Manager review</x:v>
      </x:c>
    </x:row>
    <x:row r="35">
      <x:c r="A35" s="2" t="str">
        <x:f>'Expense Register'!A32</x:f>
        <x:v>EXP-0031</x:v>
      </x:c>
      <x:c r="B35" s="2" t="str">
        <x:f>'Expense Register'!C32</x:f>
        <x:v>Sam Rivera</x:v>
      </x:c>
      <x:c r="C35" s="2" t="str">
        <x:f>'Expense Register'!D32</x:f>
        <x:v>Operations</x:v>
      </x:c>
      <x:c r="D35" s="2" t="str">
        <x:f>'Expense Register'!E32</x:f>
        <x:v>Airfare</x:v>
      </x:c>
      <x:c r="E35" s="7" t="n">
        <x:f>'Expense Register'!G32</x:f>
        <x:v>180</x:v>
      </x:c>
      <x:c r="F35" s="2" t="str">
        <x:f>'Expense Register'!I32</x:f>
        <x:v>Rejected</x:v>
      </x:c>
      <x:c r="G35" s="2" t="str">
        <x:f>'Expense Register'!O32</x:f>
        <x:v>PENDING</x:v>
      </x:c>
      <x:c r="H35" s="9" t="n">
        <x:f>'Expense Register'!M32</x:f>
        <x:v>0</x:v>
      </x:c>
      <x:c r="I35" s="2" t="str">
        <x:f>IF(G35="CLEAR","None",IF(G35="RECON","Match card and ledger",IF(G35="OVER LIMIT","Manager review",IF(G35="MISSING RECEIPT","Attach receipt","Complete approval"))))</x:f>
        <x:v>Complete approval</x:v>
      </x:c>
    </x:row>
    <x:row r="36">
      <x:c r="A36" s="2" t="str">
        <x:f>'Expense Register'!A33</x:f>
        <x:v>EXP-0032</x:v>
      </x:c>
      <x:c r="B36" s="2" t="str">
        <x:f>'Expense Register'!C33</x:f>
        <x:v>Jamie Wilson</x:v>
      </x:c>
      <x:c r="C36" s="2" t="str">
        <x:f>'Expense Register'!D33</x:f>
        <x:v>Corporate</x:v>
      </x:c>
      <x:c r="D36" s="2" t="str">
        <x:f>'Expense Register'!E33</x:f>
        <x:v>Lodging</x:v>
      </x:c>
      <x:c r="E36" s="7" t="n">
        <x:f>'Expense Register'!G33</x:f>
        <x:v>335.25</x:v>
      </x:c>
      <x:c r="F36" s="2" t="str">
        <x:f>'Expense Register'!I33</x:f>
        <x:v>Approved</x:v>
      </x:c>
      <x:c r="G36" s="2" t="str">
        <x:f>'Expense Register'!O33</x:f>
        <x:v>CLEAR</x:v>
      </x:c>
      <x:c r="H36" s="9" t="n">
        <x:f>'Expense Register'!M33</x:f>
        <x:v>0</x:v>
      </x:c>
      <x:c r="I36" s="2" t="str">
        <x:f>IF(G36="CLEAR","None",IF(G36="RECON","Match card and ledger",IF(G36="OVER LIMIT","Manager review",IF(G36="MISSING RECEIPT","Attach receipt","Complete approval"))))</x:f>
        <x:v>None</x:v>
      </x:c>
    </x:row>
    <x:row r="37">
      <x:c r="A37" s="2" t="str">
        <x:f>'Expense Register'!A34</x:f>
        <x:v>EXP-0033</x:v>
      </x:c>
      <x:c r="B37" s="2" t="str">
        <x:f>'Expense Register'!C34</x:f>
        <x:v>Avery Chen</x:v>
      </x:c>
      <x:c r="C37" s="2" t="str">
        <x:f>'Expense Register'!D34</x:f>
        <x:v>Sales</x:v>
      </x:c>
      <x:c r="D37" s="2" t="str">
        <x:f>'Expense Register'!E34</x:f>
        <x:v>Meals</x:v>
      </x:c>
      <x:c r="E37" s="7" t="n">
        <x:f>'Expense Register'!G34</x:f>
        <x:v>490.5</x:v>
      </x:c>
      <x:c r="F37" s="2" t="str">
        <x:f>'Expense Register'!I34</x:f>
        <x:v>Pending</x:v>
      </x:c>
      <x:c r="G37" s="2" t="str">
        <x:f>'Expense Register'!O34</x:f>
        <x:v>OVER LIMIT</x:v>
      </x:c>
      <x:c r="H37" s="9" t="n">
        <x:f>'Expense Register'!M34</x:f>
        <x:v>0</x:v>
      </x:c>
      <x:c r="I37" s="2" t="str">
        <x:f>IF(G37="CLEAR","None",IF(G37="RECON","Match card and ledger",IF(G37="OVER LIMIT","Manager review",IF(G37="MISSING RECEIPT","Attach receipt","Complete approval"))))</x:f>
        <x:v>Manager review</x:v>
      </x:c>
    </x:row>
    <x:row r="38">
      <x:c r="A38" s="2" t="str">
        <x:f>'Expense Register'!A35</x:f>
        <x:v>EXP-0034</x:v>
      </x:c>
      <x:c r="B38" s="2" t="str">
        <x:f>'Expense Register'!C35</x:f>
        <x:v>Jordan Lee</x:v>
      </x:c>
      <x:c r="C38" s="2" t="str">
        <x:f>'Expense Register'!D35</x:f>
        <x:v>Engineering</x:v>
      </x:c>
      <x:c r="D38" s="2" t="str">
        <x:f>'Expense Register'!E35</x:f>
        <x:v>Ground Transport</x:v>
      </x:c>
      <x:c r="E38" s="7" t="n">
        <x:f>'Expense Register'!G35</x:f>
        <x:v>645.75</x:v>
      </x:c>
      <x:c r="F38" s="2" t="str">
        <x:f>'Expense Register'!I35</x:f>
        <x:v>Approved</x:v>
      </x:c>
      <x:c r="G38" s="2" t="str">
        <x:f>'Expense Register'!O35</x:f>
        <x:v>RECON</x:v>
      </x:c>
      <x:c r="H38" s="9" t="n">
        <x:f>'Expense Register'!M35</x:f>
        <x:v>12.5</x:v>
      </x:c>
      <x:c r="I38" s="2" t="str">
        <x:f>IF(G38="CLEAR","None",IF(G38="RECON","Match card and ledger",IF(G38="OVER LIMIT","Manager review",IF(G38="MISSING RECEIPT","Attach receipt","Complete approval"))))</x:f>
        <x:v>Match card and ledger</x:v>
      </x:c>
    </x:row>
    <x:row r="39">
      <x:c r="A39" s="2" t="str">
        <x:f>'Expense Register'!A36</x:f>
        <x:v>EXP-0035</x:v>
      </x:c>
      <x:c r="B39" s="2" t="str">
        <x:f>'Expense Register'!C36</x:f>
        <x:v>Morgan Patel</x:v>
      </x:c>
      <x:c r="C39" s="2" t="str">
        <x:f>'Expense Register'!D36</x:f>
        <x:v>Operations</x:v>
      </x:c>
      <x:c r="D39" s="2" t="str">
        <x:f>'Expense Register'!E36</x:f>
        <x:v>Software</x:v>
      </x:c>
      <x:c r="E39" s="7" t="n">
        <x:f>'Expense Register'!G36</x:f>
        <x:v>801</x:v>
      </x:c>
      <x:c r="F39" s="2" t="str">
        <x:f>'Expense Register'!I36</x:f>
        <x:v>Approved</x:v>
      </x:c>
      <x:c r="G39" s="2" t="str">
        <x:f>'Expense Register'!O36</x:f>
        <x:v>RECON</x:v>
      </x:c>
      <x:c r="H39" s="9" t="n">
        <x:f>'Expense Register'!M36</x:f>
        <x:v>-7.25</x:v>
      </x:c>
      <x:c r="I39" s="2" t="str">
        <x:f>IF(G39="CLEAR","None",IF(G39="RECON","Match card and ledger",IF(G39="OVER LIMIT","Manager review",IF(G39="MISSING RECEIPT","Attach receipt","Complete approval"))))</x:f>
        <x:v>Match card and ledger</x:v>
      </x:c>
    </x:row>
    <x:row r="40">
      <x:c r="A40" s="2" t="str">
        <x:f>'Expense Register'!A37</x:f>
        <x:v>EXP-0036</x:v>
      </x:c>
      <x:c r="B40" s="2" t="str">
        <x:f>'Expense Register'!C37</x:f>
        <x:v>Riley Smith</x:v>
      </x:c>
      <x:c r="C40" s="2" t="str">
        <x:f>'Expense Register'!D37</x:f>
        <x:v>Corporate</x:v>
      </x:c>
      <x:c r="D40" s="2" t="str">
        <x:f>'Expense Register'!E37</x:f>
        <x:v>Supplies</x:v>
      </x:c>
      <x:c r="E40" s="7" t="n">
        <x:f>'Expense Register'!G37</x:f>
        <x:v>865</x:v>
      </x:c>
      <x:c r="F40" s="2" t="str">
        <x:f>'Expense Register'!I37</x:f>
        <x:v>Approved</x:v>
      </x:c>
      <x:c r="G40" s="2" t="str">
        <x:f>'Expense Register'!O37</x:f>
        <x:v>OVER LIMIT</x:v>
      </x:c>
      <x:c r="H40" s="9" t="n">
        <x:f>'Expense Register'!M37</x:f>
        <x:v>0</x:v>
      </x:c>
      <x:c r="I40" s="2" t="str">
        <x:f>IF(G40="CLEAR","None",IF(G40="RECON","Match card and ledger",IF(G40="OVER LIMIT","Manager review",IF(G40="MISSING RECEIPT","Attach receipt","Complete approval"))))</x:f>
        <x:v>Manager review</x:v>
      </x:c>
    </x:row>
    <x:row r="41">
      <x:c r="A41" s="2" t="str">
        <x:f>'Expense Register'!A38</x:f>
        <x:v>EXP-0037</x:v>
      </x:c>
      <x:c r="B41" s="2" t="str">
        <x:f>'Expense Register'!C38</x:f>
        <x:v>Taylor Brooks</x:v>
      </x:c>
      <x:c r="C41" s="2" t="str">
        <x:f>'Expense Register'!D38</x:f>
        <x:v>Sales</x:v>
      </x:c>
      <x:c r="D41" s="2" t="str">
        <x:f>'Expense Register'!E38</x:f>
        <x:v>Airfare</x:v>
      </x:c>
      <x:c r="E41" s="7" t="n">
        <x:f>'Expense Register'!G38</x:f>
        <x:v>1020.25</x:v>
      </x:c>
      <x:c r="F41" s="2" t="str">
        <x:f>'Expense Register'!I38</x:f>
        <x:v>Pending</x:v>
      </x:c>
      <x:c r="G41" s="2" t="str">
        <x:f>'Expense Register'!O38</x:f>
        <x:v>MISSING RECEIPT</x:v>
      </x:c>
      <x:c r="H41" s="9" t="n">
        <x:f>'Expense Register'!M38</x:f>
        <x:v>0</x:v>
      </x:c>
      <x:c r="I41" s="2" t="str">
        <x:f>IF(G41="CLEAR","None",IF(G41="RECON","Match card and ledger",IF(G41="OVER LIMIT","Manager review",IF(G41="MISSING RECEIPT","Attach receipt","Complete approval"))))</x:f>
        <x:v>Attach receipt</x:v>
      </x:c>
    </x:row>
    <x:row r="42">
      <x:c r="A42" s="2" t="str">
        <x:f>'Expense Register'!A39</x:f>
        <x:v>EXP-0038</x:v>
      </x:c>
      <x:c r="B42" s="2" t="str">
        <x:f>'Expense Register'!C39</x:f>
        <x:v>Casey Nguyen</x:v>
      </x:c>
      <x:c r="C42" s="2" t="str">
        <x:f>'Expense Register'!D39</x:f>
        <x:v>Engineering</x:v>
      </x:c>
      <x:c r="D42" s="2" t="str">
        <x:f>'Expense Register'!E39</x:f>
        <x:v>Lodging</x:v>
      </x:c>
      <x:c r="E42" s="7" t="n">
        <x:f>'Expense Register'!G39</x:f>
        <x:v>1175.5</x:v>
      </x:c>
      <x:c r="F42" s="2" t="str">
        <x:f>'Expense Register'!I39</x:f>
        <x:v>Approved</x:v>
      </x:c>
      <x:c r="G42" s="2" t="str">
        <x:f>'Expense Register'!O39</x:f>
        <x:v>OVER LIMIT</x:v>
      </x:c>
      <x:c r="H42" s="9" t="n">
        <x:f>'Expense Register'!M39</x:f>
        <x:v>0</x:v>
      </x:c>
      <x:c r="I42" s="2" t="str">
        <x:f>IF(G42="CLEAR","None",IF(G42="RECON","Match card and ledger",IF(G42="OVER LIMIT","Manager review",IF(G42="MISSING RECEIPT","Attach receipt","Complete approval"))))</x:f>
        <x:v>Manager review</x:v>
      </x:c>
    </x:row>
    <x:row r="43">
      <x:c r="A43" s="2" t="str">
        <x:f>'Expense Register'!A40</x:f>
        <x:v>EXP-0039</x:v>
      </x:c>
      <x:c r="B43" s="2" t="str">
        <x:f>'Expense Register'!C40</x:f>
        <x:v>Sam Rivera</x:v>
      </x:c>
      <x:c r="C43" s="2" t="str">
        <x:f>'Expense Register'!D40</x:f>
        <x:v>Operations</x:v>
      </x:c>
      <x:c r="D43" s="2" t="str">
        <x:f>'Expense Register'!E40</x:f>
        <x:v>Meals</x:v>
      </x:c>
      <x:c r="E43" s="7" t="n">
        <x:f>'Expense Register'!G40</x:f>
        <x:v>1330.75</x:v>
      </x:c>
      <x:c r="F43" s="2" t="str">
        <x:f>'Expense Register'!I40</x:f>
        <x:v>Approved</x:v>
      </x:c>
      <x:c r="G43" s="2" t="str">
        <x:f>'Expense Register'!O40</x:f>
        <x:v>OVER LIMIT</x:v>
      </x:c>
      <x:c r="H43" s="9" t="n">
        <x:f>'Expense Register'!M40</x:f>
        <x:v>0</x:v>
      </x:c>
      <x:c r="I43" s="2" t="str">
        <x:f>IF(G43="CLEAR","None",IF(G43="RECON","Match card and ledger",IF(G43="OVER LIMIT","Manager review",IF(G43="MISSING RECEIPT","Attach receipt","Complete approval"))))</x:f>
        <x:v>Manager review</x:v>
      </x:c>
    </x:row>
    <x:row r="44">
      <x:c r="A44" s="2" t="str">
        <x:f>'Expense Register'!A41</x:f>
        <x:v>EXP-0040</x:v>
      </x:c>
      <x:c r="B44" s="2" t="str">
        <x:f>'Expense Register'!C41</x:f>
        <x:v>Jamie Wilson</x:v>
      </x:c>
      <x:c r="C44" s="2" t="str">
        <x:f>'Expense Register'!D41</x:f>
        <x:v>Corporate</x:v>
      </x:c>
      <x:c r="D44" s="2" t="str">
        <x:f>'Expense Register'!E41</x:f>
        <x:v>Ground Transport</x:v>
      </x:c>
      <x:c r="E44" s="7" t="n">
        <x:f>'Expense Register'!G41</x:f>
        <x:v>460</x:v>
      </x:c>
      <x:c r="F44" s="2" t="str">
        <x:f>'Expense Register'!I41</x:f>
        <x:v>Approved</x:v>
      </x:c>
      <x:c r="G44" s="2" t="str">
        <x:f>'Expense Register'!O41</x:f>
        <x:v>OVER LIMIT</x:v>
      </x:c>
      <x:c r="H44" s="9" t="n">
        <x:f>'Expense Register'!M41</x:f>
        <x:v>0</x:v>
      </x:c>
      <x:c r="I44" s="2" t="str">
        <x:f>IF(G44="CLEAR","None",IF(G44="RECON","Match card and ledger",IF(G44="OVER LIMIT","Manager review",IF(G44="MISSING RECEIPT","Attach receipt","Complete approval"))))</x:f>
        <x:v>Manager review</x:v>
      </x:c>
    </x:row>
    <x:row r="45">
      <x:c r="A45" s="2" t="str">
        <x:f>'Expense Register'!A42</x:f>
        <x:v>EXP-0041</x:v>
      </x:c>
      <x:c r="B45" s="2" t="str">
        <x:f>'Expense Register'!C42</x:f>
        <x:v>Avery Chen</x:v>
      </x:c>
      <x:c r="C45" s="2" t="str">
        <x:f>'Expense Register'!D42</x:f>
        <x:v>Sales</x:v>
      </x:c>
      <x:c r="D45" s="2" t="str">
        <x:f>'Expense Register'!E42</x:f>
        <x:v>Software</x:v>
      </x:c>
      <x:c r="E45" s="7" t="n">
        <x:f>'Expense Register'!G42</x:f>
        <x:v>225</x:v>
      </x:c>
      <x:c r="F45" s="2" t="str">
        <x:f>'Expense Register'!I42</x:f>
        <x:v>Rejected</x:v>
      </x:c>
      <x:c r="G45" s="2" t="str">
        <x:f>'Expense Register'!O42</x:f>
        <x:v>PENDING</x:v>
      </x:c>
      <x:c r="H45" s="9" t="n">
        <x:f>'Expense Register'!M42</x:f>
        <x:v>0</x:v>
      </x:c>
      <x:c r="I45" s="2" t="str">
        <x:f>IF(G45="CLEAR","None",IF(G45="RECON","Match card and ledger",IF(G45="OVER LIMIT","Manager review",IF(G45="MISSING RECEIPT","Attach receipt","Complete approval"))))</x:f>
        <x:v>Complete approval</x:v>
      </x:c>
    </x:row>
    <x:row r="46">
      <x:c r="A46" s="2" t="str">
        <x:f>'Expense Register'!A43</x:f>
        <x:v>EXP-0042</x:v>
      </x:c>
      <x:c r="B46" s="2" t="str">
        <x:f>'Expense Register'!C43</x:f>
        <x:v>Jordan Lee</x:v>
      </x:c>
      <x:c r="C46" s="2" t="str">
        <x:f>'Expense Register'!D43</x:f>
        <x:v>Engineering</x:v>
      </x:c>
      <x:c r="D46" s="2" t="str">
        <x:f>'Expense Register'!E43</x:f>
        <x:v>Supplies</x:v>
      </x:c>
      <x:c r="E46" s="7" t="n">
        <x:f>'Expense Register'!G43</x:f>
        <x:v>380.25</x:v>
      </x:c>
      <x:c r="F46" s="2" t="str">
        <x:f>'Expense Register'!I43</x:f>
        <x:v>Approved</x:v>
      </x:c>
      <x:c r="G46" s="2" t="str">
        <x:f>'Expense Register'!O43</x:f>
        <x:v>OVER LIMIT</x:v>
      </x:c>
      <x:c r="H46" s="9" t="n">
        <x:f>'Expense Register'!M43</x:f>
        <x:v>0</x:v>
      </x:c>
      <x:c r="I46" s="2" t="str">
        <x:f>IF(G46="CLEAR","None",IF(G46="RECON","Match card and ledger",IF(G46="OVER LIMIT","Manager review",IF(G46="MISSING RECEIPT","Attach receipt","Complete approval"))))</x:f>
        <x:v>Manager review</x:v>
      </x:c>
    </x:row>
    <x:row r="47">
      <x:c r="A47" s="2" t="str">
        <x:f>'Expense Register'!A44</x:f>
        <x:v>EXP-0043</x:v>
      </x:c>
      <x:c r="B47" s="2" t="str">
        <x:f>'Expense Register'!C44</x:f>
        <x:v>Morgan Patel</x:v>
      </x:c>
      <x:c r="C47" s="2" t="str">
        <x:f>'Expense Register'!D44</x:f>
        <x:v>Operations</x:v>
      </x:c>
      <x:c r="D47" s="2" t="str">
        <x:f>'Expense Register'!E44</x:f>
        <x:v>Airfare</x:v>
      </x:c>
      <x:c r="E47" s="7" t="n">
        <x:f>'Expense Register'!G44</x:f>
        <x:v>535.5</x:v>
      </x:c>
      <x:c r="F47" s="2" t="str">
        <x:f>'Expense Register'!I44</x:f>
        <x:v>Approved</x:v>
      </x:c>
      <x:c r="G47" s="2" t="str">
        <x:f>'Expense Register'!O44</x:f>
        <x:v>CLEAR</x:v>
      </x:c>
      <x:c r="H47" s="9" t="n">
        <x:f>'Expense Register'!M44</x:f>
        <x:v>0</x:v>
      </x:c>
      <x:c r="I47" s="2" t="str">
        <x:f>IF(G47="CLEAR","None",IF(G47="RECON","Match card and ledger",IF(G47="OVER LIMIT","Manager review",IF(G47="MISSING RECEIPT","Attach receipt","Complete approval"))))</x:f>
        <x:v>None</x:v>
      </x:c>
    </x:row>
    <x:row r="48">
      <x:c r="A48" s="2" t="str">
        <x:f>'Expense Register'!A45</x:f>
        <x:v>EXP-0044</x:v>
      </x:c>
      <x:c r="B48" s="2" t="str">
        <x:f>'Expense Register'!C45</x:f>
        <x:v>Riley Smith</x:v>
      </x:c>
      <x:c r="C48" s="2" t="str">
        <x:f>'Expense Register'!D45</x:f>
        <x:v>Corporate</x:v>
      </x:c>
      <x:c r="D48" s="2" t="str">
        <x:f>'Expense Register'!E45</x:f>
        <x:v>Lodging</x:v>
      </x:c>
      <x:c r="E48" s="7" t="n">
        <x:f>'Expense Register'!G45</x:f>
        <x:v>690.75</x:v>
      </x:c>
      <x:c r="F48" s="2" t="str">
        <x:f>'Expense Register'!I45</x:f>
        <x:v>Approved</x:v>
      </x:c>
      <x:c r="G48" s="2" t="str">
        <x:f>'Expense Register'!O45</x:f>
        <x:v>OVER LIMIT</x:v>
      </x:c>
      <x:c r="H48" s="9" t="n">
        <x:f>'Expense Register'!M45</x:f>
        <x:v>0</x:v>
      </x:c>
      <x:c r="I48" s="2" t="str">
        <x:f>IF(G48="CLEAR","None",IF(G48="RECON","Match card and ledger",IF(G48="OVER LIMIT","Manager review",IF(G48="MISSING RECEIPT","Attach receipt","Complete approval"))))</x:f>
        <x:v>Manager review</x:v>
      </x:c>
    </x:row>
    <x:row r="49">
      <x:c r="A49" s="2" t="str">
        <x:f>'Expense Register'!A46</x:f>
        <x:v>EXP-0045</x:v>
      </x:c>
      <x:c r="B49" s="2" t="str">
        <x:f>'Expense Register'!C46</x:f>
        <x:v>Taylor Brooks</x:v>
      </x:c>
      <x:c r="C49" s="2" t="str">
        <x:f>'Expense Register'!D46</x:f>
        <x:v>Sales</x:v>
      </x:c>
      <x:c r="D49" s="2" t="str">
        <x:f>'Expense Register'!E46</x:f>
        <x:v>Meals</x:v>
      </x:c>
      <x:c r="E49" s="7" t="n">
        <x:f>'Expense Register'!G46</x:f>
        <x:v>846</x:v>
      </x:c>
      <x:c r="F49" s="2" t="str">
        <x:f>'Expense Register'!I46</x:f>
        <x:v>Pending</x:v>
      </x:c>
      <x:c r="G49" s="2" t="str">
        <x:f>'Expense Register'!O46</x:f>
        <x:v>RECON</x:v>
      </x:c>
      <x:c r="H49" s="9" t="n">
        <x:f>'Expense Register'!M46</x:f>
        <x:v>12.5</x:v>
      </x:c>
      <x:c r="I49" s="2" t="str">
        <x:f>IF(G49="CLEAR","None",IF(G49="RECON","Match card and ledger",IF(G49="OVER LIMIT","Manager review",IF(G49="MISSING RECEIPT","Attach receipt","Complete approval"))))</x:f>
        <x:v>Match card and ledger</x:v>
      </x:c>
    </x:row>
    <x:row r="50">
      <x:c r="A50" s="2" t="str">
        <x:f>'Expense Register'!A47</x:f>
        <x:v>EXP-0046</x:v>
      </x:c>
      <x:c r="B50" s="2" t="str">
        <x:f>'Expense Register'!C47</x:f>
        <x:v>Casey Nguyen</x:v>
      </x:c>
      <x:c r="C50" s="2" t="str">
        <x:f>'Expense Register'!D47</x:f>
        <x:v>Engineering</x:v>
      </x:c>
      <x:c r="D50" s="2" t="str">
        <x:f>'Expense Register'!E47</x:f>
        <x:v>Ground Transport</x:v>
      </x:c>
      <x:c r="E50" s="7" t="n">
        <x:f>'Expense Register'!G47</x:f>
        <x:v>910</x:v>
      </x:c>
      <x:c r="F50" s="2" t="str">
        <x:f>'Expense Register'!I47</x:f>
        <x:v>Approved</x:v>
      </x:c>
      <x:c r="G50" s="2" t="str">
        <x:f>'Expense Register'!O47</x:f>
        <x:v>OVER LIMIT</x:v>
      </x:c>
      <x:c r="H50" s="9" t="n">
        <x:f>'Expense Register'!M47</x:f>
        <x:v>0</x:v>
      </x:c>
      <x:c r="I50" s="2" t="str">
        <x:f>IF(G50="CLEAR","None",IF(G50="RECON","Match card and ledger",IF(G50="OVER LIMIT","Manager review",IF(G50="MISSING RECEIPT","Attach receipt","Complete approval"))))</x:f>
        <x:v>Manager review</x:v>
      </x:c>
    </x:row>
    <x:row r="51">
      <x:c r="A51" s="2" t="str">
        <x:f>'Expense Register'!A48</x:f>
        <x:v>EXP-0047</x:v>
      </x:c>
      <x:c r="B51" s="2" t="str">
        <x:f>'Expense Register'!C48</x:f>
        <x:v>Sam Rivera</x:v>
      </x:c>
      <x:c r="C51" s="2" t="str">
        <x:f>'Expense Register'!D48</x:f>
        <x:v>Operations</x:v>
      </x:c>
      <x:c r="D51" s="2" t="str">
        <x:f>'Expense Register'!E48</x:f>
        <x:v>Software</x:v>
      </x:c>
      <x:c r="E51" s="7" t="n">
        <x:f>'Expense Register'!G48</x:f>
        <x:v>1065.25</x:v>
      </x:c>
      <x:c r="F51" s="2" t="str">
        <x:f>'Expense Register'!I48</x:f>
        <x:v>Approved</x:v>
      </x:c>
      <x:c r="G51" s="2" t="str">
        <x:f>'Expense Register'!O48</x:f>
        <x:v>OVER LIMIT</x:v>
      </x:c>
      <x:c r="H51" s="9" t="n">
        <x:f>'Expense Register'!M48</x:f>
        <x:v>0</x:v>
      </x:c>
      <x:c r="I51" s="2" t="str">
        <x:f>IF(G51="CLEAR","None",IF(G51="RECON","Match card and ledger",IF(G51="OVER LIMIT","Manager review",IF(G51="MISSING RECEIPT","Attach receipt","Complete approval"))))</x:f>
        <x:v>Manager review</x:v>
      </x:c>
    </x:row>
    <x:row r="52">
      <x:c r="A52" s="2" t="str">
        <x:f>'Expense Register'!A49</x:f>
        <x:v>EXP-0048</x:v>
      </x:c>
      <x:c r="B52" s="2" t="str">
        <x:f>'Expense Register'!C49</x:f>
        <x:v>Jamie Wilson</x:v>
      </x:c>
      <x:c r="C52" s="2" t="str">
        <x:f>'Expense Register'!D49</x:f>
        <x:v>Corporate</x:v>
      </x:c>
      <x:c r="D52" s="2" t="str">
        <x:f>'Expense Register'!E49</x:f>
        <x:v>Supplies</x:v>
      </x:c>
      <x:c r="E52" s="7" t="n">
        <x:f>'Expense Register'!G49</x:f>
        <x:v>1220.5</x:v>
      </x:c>
      <x:c r="F52" s="2" t="str">
        <x:f>'Expense Register'!I49</x:f>
        <x:v>Approved</x:v>
      </x:c>
      <x:c r="G52" s="2" t="str">
        <x:f>'Expense Register'!O49</x:f>
        <x:v>OVER LIMIT</x:v>
      </x:c>
      <x:c r="H52" s="9" t="n">
        <x:f>'Expense Register'!M49</x:f>
        <x:v>0</x:v>
      </x:c>
      <x:c r="I52" s="2" t="str">
        <x:f>IF(G52="CLEAR","None",IF(G52="RECON","Match card and ledger",IF(G52="OVER LIMIT","Manager review",IF(G52="MISSING RECEIPT","Attach receipt","Complete approval"))))</x:f>
        <x:v>Manager review</x:v>
      </x:c>
    </x:row>
  </x:sheetData>
  <x:conditionalFormatting sqref="G5:G52">
    <x:cfRule type="notContainsText" dxfId="3" priority="1" text="CLEAR"/>
  </x:conditionalFormatting>
  <x:pageMargins left="0.7" right="0.7" top="0.75" bottom="0.75" header="0.3" footer="0.3"/>
</x:worksheet>
</file>