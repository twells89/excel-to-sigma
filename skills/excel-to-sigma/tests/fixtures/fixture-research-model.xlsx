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c4194ddfb44a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Y results" sheetId="1" r:id="R7b24f401a0594733"/>
    <x:sheet xmlns:r="http://schemas.openxmlformats.org/officeDocument/2006/relationships" name="Model Inputs" sheetId="2" r:id="R929e604760f04c40"/>
    <x:sheet xmlns:r="http://schemas.openxmlformats.org/officeDocument/2006/relationships" name="Segment Detail" sheetId="3" r:id="R2ad580613cb044c1"/>
    <x:sheet xmlns:r="http://schemas.openxmlformats.org/officeDocument/2006/relationships" name="Audit" sheetId="4" r:id="R62a37bd975ea4f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0.0%"/>
    <x:numFmt numFmtId="201" formatCode="$#,##0.0"/>
    <x:numFmt numFmtId="202" formatCode="$#,##0.0;($#,##0.0);-"/>
    <x:numFmt numFmtId="203" formatCode="$0.00;($0.00);-"/>
    <x:numFmt numFmtId="204" formatCode="0.0"/>
    <x:numFmt numFmtId="205" formatCode="0.0x"/>
    <x:numFmt numFmtId="206" formatCode="0.0000"/>
  </x:numFmts>
  <x:fonts count="9">
    <x:font>
      <x:sz val="11"/>
      <x:name val="Carlito"/>
    </x:font>
    <x:font>
      <x:sz val="10"/>
      <x:color rgb="FF222222"/>
      <x:name val="Arial"/>
    </x:font>
    <x:font>
      <x:b/>
      <x:sz val="10"/>
      <x:color rgb="FFFFFFFF"/>
      <x:name val="Arial"/>
    </x:font>
    <x:font>
      <x:sz val="10"/>
      <x:color rgb="FF0000FF"/>
      <x:name val="Arial"/>
    </x:font>
    <x:font>
      <x:b/>
      <x:sz val="15"/>
      <x:color rgb="FF17365D"/>
      <x:name val="Arial"/>
    </x:font>
    <x:font>
      <x:i/>
      <x:sz val="10"/>
      <x:color rgb="FF666666"/>
      <x:name val="Arial"/>
    </x:font>
    <x:font>
      <x:b/>
      <x:sz val="10"/>
      <x:color rgb="FF17365D"/>
      <x:name val="Arial"/>
    </x:font>
    <x:font>
      <x:b/>
      <x:sz val="10"/>
      <x:color rgb="FF222222"/>
      <x:name val="Arial"/>
    </x:font>
    <x:font>
      <x:i/>
      <x:sz val="10"/>
      <x:color rgb="FF222222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F7FBFF"/>
      </x:patternFill>
    </x:fill>
    <x:fill>
      <x:patternFill patternType="solid">
        <x:fgColor rgb="FFFFFFFF"/>
      </x:patternFill>
    </x:fill>
  </x:fills>
  <x:borders count="6">
    <x:border>
      <x:left/>
      <x:right/>
      <x:top/>
      <x:bottom/>
      <x:diagonal/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  <x:diagonal/>
    </x:border>
    <x:border>
      <x:left style="thin">
        <x:color rgb="FF2F75B5"/>
      </x:left>
      <x:right/>
      <x:top style="thin">
        <x:color rgb="FF2F75B5"/>
      </x:top>
      <x:bottom style="thin">
        <x:color rgb="FF2F75B5"/>
      </x:bottom>
      <x:diagonal/>
    </x:border>
    <x:border>
      <x:left/>
      <x:right/>
      <x:top style="thin">
        <x:color rgb="FF2F75B5"/>
      </x:top>
      <x:bottom style="thin">
        <x:color rgb="FF2F75B5"/>
      </x:bottom>
      <x:diagonal/>
    </x:border>
    <x:border>
      <x:left/>
      <x:right style="thin">
        <x:color rgb="FF2F75B5"/>
      </x:right>
      <x:top style="thin">
        <x:color rgb="FF2F75B5"/>
      </x:top>
      <x:bottom style="thin">
        <x:color rgb="FF2F75B5"/>
      </x:bottom>
      <x:diagonal/>
    </x:border>
    <x:border>
      <x:left/>
      <x:right/>
      <x:top/>
      <x:bottom style="thin">
        <x:color rgb="FF2F75B5"/>
      </x:bottom>
      <x:diagonal/>
    </x:border>
  </x:borders>
  <x:cellStyleXfs count="1">
    <x:xf numFmtId="0" fontId="0" fillId="0" borderId="0"/>
  </x:cellStyleXfs>
  <x:cellXfs count="7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0" fontId="3" fillId="3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2" xfId="0" applyNumberFormat="1" applyFont="1" applyFill="1" applyBorder="1"/>
    <x:xf numFmtId="0" fontId="6" fillId="4" borderId="3" xfId="0" applyNumberFormat="1" applyFont="1" applyFill="1" applyBorder="1"/>
    <x:xf numFmtId="0" fontId="6" fillId="4" borderId="4" xfId="0" applyNumberFormat="1" applyFont="1" applyFill="1" applyBorder="1"/>
    <x:xf numFmtId="0" fontId="7" fillId="0" borderId="0" xfId="0" applyNumberFormat="1" applyFont="1" applyFill="1" applyBorder="1"/>
    <x:xf numFmtId="0" fontId="8" fillId="0" borderId="0" xfId="0" applyNumberFormat="1" applyFont="1" applyFill="1" applyBorder="1"/>
    <x:xf numFmtId="0" fontId="7" fillId="2" borderId="1" xfId="0" applyNumberFormat="1" applyFont="1" applyFill="1" applyBorder="1" applyAlignment="1">
      <x:alignment horizontal="center"/>
    </x:xf>
    <x:xf numFmtId="0" fontId="7" fillId="4" borderId="2" xfId="0" applyNumberFormat="1" applyFont="1" applyFill="1" applyBorder="1"/>
    <x:xf numFmtId="0" fontId="7" fillId="4" borderId="3" xfId="0" applyNumberFormat="1" applyFont="1" applyFill="1" applyBorder="1"/>
    <x:xf numFmtId="0" fontId="7" fillId="4" borderId="4" xfId="0" applyNumberFormat="1" applyFont="1" applyFill="1" applyBorder="1"/>
    <x:xf numFmtId="0" fontId="7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0" fontId="7" fillId="2" borderId="1" xfId="0" applyNumberFormat="1" applyFont="1" applyFill="1" applyBorder="1" applyAlignment="1">
      <x:alignment horizontal="center" vertical="center"/>
    </x:xf>
    <x:xf numFmtId="0" fontId="7" fillId="4" borderId="2" xfId="0" applyNumberFormat="1" applyFont="1" applyFill="1" applyBorder="1" applyAlignment="1">
      <x:alignment vertical="center"/>
    </x:xf>
    <x:xf numFmtId="0" fontId="7" fillId="4" borderId="3" xfId="0" applyNumberFormat="1" applyFont="1" applyFill="1" applyBorder="1" applyAlignment="1">
      <x:alignment vertical="center"/>
    </x:xf>
    <x:xf numFmtId="0" fontId="7" fillId="4" borderId="4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2" fontId="7" fillId="4" borderId="3" xfId="0" applyNumberFormat="1" applyFont="1" applyFill="1" applyBorder="1" applyAlignment="1">
      <x:alignment vertical="center"/>
    </x:xf>
    <x:xf numFmtId="202" fontId="7" fillId="4" borderId="4" xfId="0" applyNumberFormat="1" applyFont="1" applyFill="1" applyBorder="1" applyAlignment="1">
      <x:alignment vertical="center"/>
    </x:xf>
    <x:xf numFmtId="202" fontId="8" fillId="0" borderId="0" xfId="0" applyNumberFormat="1" applyFont="1" applyFill="1" applyBorder="1" applyAlignment="1">
      <x:alignment vertical="center"/>
    </x:xf>
    <x:xf numFmtId="200" fontId="8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202" fontId="7" fillId="0" borderId="0" xfId="0" applyNumberFormat="1" applyFont="1" applyFill="1" applyBorder="1" applyAlignment="1">
      <x:alignment vertical="center"/>
    </x:xf>
    <x:xf numFmtId="0" fontId="7" fillId="5" borderId="1" xfId="0" applyNumberFormat="1" applyFont="1" applyFill="1" applyBorder="1" applyAlignment="1">
      <x:alignment horizontal="center" vertical="center"/>
    </x:xf>
    <x:xf numFmtId="0" fontId="1" fillId="5" borderId="0" xfId="0" applyNumberFormat="1" applyFont="1" applyFill="1" applyBorder="1" applyAlignment="1">
      <x:alignment vertical="center"/>
    </x:xf>
    <x:xf numFmtId="0" fontId="7" fillId="5" borderId="3" xfId="0" applyNumberFormat="1" applyFont="1" applyFill="1" applyBorder="1" applyAlignment="1">
      <x:alignment vertical="center"/>
    </x:xf>
    <x:xf numFmtId="0" fontId="7" fillId="5" borderId="4" xfId="0" applyNumberFormat="1" applyFont="1" applyFill="1" applyBorder="1" applyAlignment="1">
      <x:alignment vertical="center"/>
    </x:xf>
    <x:xf numFmtId="202" fontId="1" fillId="5" borderId="0" xfId="0" applyNumberFormat="1" applyFont="1" applyFill="1" applyBorder="1" applyAlignment="1">
      <x:alignment vertical="center"/>
    </x:xf>
    <x:xf numFmtId="200" fontId="8" fillId="5" borderId="0" xfId="0" applyNumberFormat="1" applyFont="1" applyFill="1" applyBorder="1" applyAlignment="1">
      <x:alignment vertical="center"/>
    </x:xf>
    <x:xf numFmtId="202" fontId="7" fillId="5" borderId="0" xfId="0" applyNumberFormat="1" applyFont="1" applyFill="1" applyBorder="1" applyAlignment="1">
      <x:alignment vertical="center"/>
    </x:xf>
    <x:xf numFmtId="202" fontId="7" fillId="5" borderId="3" xfId="0" applyNumberFormat="1" applyFont="1" applyFill="1" applyBorder="1" applyAlignment="1">
      <x:alignment vertical="center"/>
    </x:xf>
    <x:xf numFmtId="202" fontId="7" fillId="5" borderId="4" xfId="0" applyNumberFormat="1" applyFont="1" applyFill="1" applyBorder="1" applyAlignment="1">
      <x:alignment vertical="center"/>
    </x:xf>
    <x:xf numFmtId="204" fontId="1" fillId="5" borderId="0" xfId="0" applyNumberFormat="1" applyFont="1" applyFill="1" applyBorder="1" applyAlignment="1">
      <x:alignment vertical="center"/>
    </x:xf>
    <x:xf numFmtId="203" fontId="1" fillId="5" borderId="0" xfId="0" applyNumberFormat="1" applyFont="1" applyFill="1" applyBorder="1" applyAlignment="1">
      <x:alignment vertical="center"/>
    </x:xf>
    <x:xf numFmtId="205" fontId="1" fillId="5" borderId="0" xfId="0" applyNumberFormat="1" applyFont="1" applyFill="1" applyBorder="1" applyAlignment="1">
      <x:alignment vertical="center"/>
    </x:xf>
    <x:xf numFmtId="0" fontId="7" fillId="6" borderId="1" xfId="0" applyNumberFormat="1" applyFont="1" applyFill="1" applyBorder="1" applyAlignment="1">
      <x:alignment horizontal="center" vertical="center"/>
    </x:xf>
    <x:xf numFmtId="0" fontId="1" fillId="6" borderId="0" xfId="0" applyNumberFormat="1" applyFont="1" applyFill="1" applyBorder="1" applyAlignment="1">
      <x:alignment vertical="center"/>
    </x:xf>
    <x:xf numFmtId="0" fontId="7" fillId="6" borderId="3" xfId="0" applyNumberFormat="1" applyFont="1" applyFill="1" applyBorder="1" applyAlignment="1">
      <x:alignment vertical="center"/>
    </x:xf>
    <x:xf numFmtId="202" fontId="1" fillId="6" borderId="0" xfId="0" applyNumberFormat="1" applyFont="1" applyFill="1" applyBorder="1" applyAlignment="1">
      <x:alignment vertical="center"/>
    </x:xf>
    <x:xf numFmtId="200" fontId="8" fillId="6" borderId="0" xfId="0" applyNumberFormat="1" applyFont="1" applyFill="1" applyBorder="1" applyAlignment="1">
      <x:alignment vertical="center"/>
    </x:xf>
    <x:xf numFmtId="202" fontId="7" fillId="6" borderId="0" xfId="0" applyNumberFormat="1" applyFont="1" applyFill="1" applyBorder="1" applyAlignment="1">
      <x:alignment vertical="center"/>
    </x:xf>
    <x:xf numFmtId="202" fontId="7" fillId="6" borderId="3" xfId="0" applyNumberFormat="1" applyFont="1" applyFill="1" applyBorder="1" applyAlignment="1">
      <x:alignment vertical="center"/>
    </x:xf>
    <x:xf numFmtId="204" fontId="1" fillId="6" borderId="0" xfId="0" applyNumberFormat="1" applyFont="1" applyFill="1" applyBorder="1" applyAlignment="1">
      <x:alignment vertical="center"/>
    </x:xf>
    <x:xf numFmtId="203" fontId="1" fillId="6" borderId="0" xfId="0" applyNumberFormat="1" applyFont="1" applyFill="1" applyBorder="1" applyAlignment="1">
      <x:alignment vertical="center"/>
    </x:xf>
    <x:xf numFmtId="205" fontId="1" fillId="6" borderId="0" xfId="0" applyNumberFormat="1" applyFont="1" applyFill="1" applyBorder="1" applyAlignment="1">
      <x:alignment vertical="center"/>
    </x:xf>
    <x:xf numFmtId="0" fontId="6" fillId="4" borderId="2" xfId="0" applyNumberFormat="1" applyFont="1" applyFill="1" applyBorder="1" applyAlignment="1">
      <x:alignment vertical="center"/>
    </x:xf>
    <x:xf numFmtId="0" fontId="6" fillId="4" borderId="3" xfId="0" applyNumberFormat="1" applyFont="1" applyFill="1" applyBorder="1" applyAlignment="1">
      <x:alignment vertical="center"/>
    </x:xf>
    <x:xf numFmtId="0" fontId="6" fillId="4" borderId="4" xfId="0" applyNumberFormat="1" applyFont="1" applyFill="1" applyBorder="1" applyAlignment="1">
      <x:alignment vertical="center"/>
    </x:xf>
    <x:xf numFmtId="202" fontId="6" fillId="4" borderId="3" xfId="0" applyNumberFormat="1" applyFont="1" applyFill="1" applyBorder="1" applyAlignment="1">
      <x:alignment vertical="center"/>
    </x:xf>
    <x:xf numFmtId="202" fontId="6" fillId="4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/>
    <x:xf numFmtId="0" fontId="7" fillId="0" borderId="5" xfId="0" applyNumberFormat="1" applyFont="1" applyFill="1" applyBorder="1"/>
    <x:xf numFmtId="0" fontId="7" fillId="0" borderId="5" xfId="0" applyNumberFormat="1" applyFont="1" applyFill="1" applyBorder="1" applyAlignment="1">
      <x:alignment vertical="center"/>
    </x:xf>
    <x:xf numFmtId="206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3"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222222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e178b743c64463" /><Relationship Type="http://schemas.openxmlformats.org/officeDocument/2006/relationships/theme" Target="/xl/theme/theme1.xml" Id="R72f5a3f8d8ce47c7" /><Relationship Type="http://schemas.openxmlformats.org/officeDocument/2006/relationships/sharedStrings" Target="/xl/sharedStrings.xml" Id="Rd5ea0112633f4a1c" /><Relationship Type="http://schemas.openxmlformats.org/officeDocument/2006/relationships/worksheet" Target="/xl/worksheets/sheet1.xml" Id="R7b24f401a0594733" /><Relationship Type="http://schemas.openxmlformats.org/officeDocument/2006/relationships/worksheet" Target="/xl/worksheets/sheet2.xml" Id="R929e604760f04c40" /><Relationship Type="http://schemas.openxmlformats.org/officeDocument/2006/relationships/worksheet" Target="/xl/worksheets/sheet3.xml" Id="R2ad580613cb044c1" /><Relationship Type="http://schemas.openxmlformats.org/officeDocument/2006/relationships/worksheet" Target="/xl/worksheets/sheet4.xml" Id="R62a37bd975ea4f3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ff3d8386d3a4aea" /><Relationship Type="http://schemas.openxmlformats.org/officeDocument/2006/relationships/chart" Target="/xl/drawings/charts/chart2.xml" Id="R8b9d5599834c4e4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Revenue and EBITDA (USD m)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Revenue</c:v>
          </c:tx>
          <c:marker>
            <c:symbol val="none"/>
          </c:marker>
          <c:cat>
            <c:strRef>
              <c:f>'FY results'!$O$6:$O$17</c:f>
              <c:strCache>
                <c:ptCount val="0"/>
              </c:strCache>
            </c:strRef>
          </c:cat>
          <c:val>
            <c:numRef>
              <c:f>'FY results'!$P$6:$P$17</c:f>
              <c:numCache>
                <c:formatCode>$0"m"</c:formatCode>
                <c:ptCount val="0"/>
              </c:numCache>
            </c:numRef>
          </c:val>
          <c:smooth val="0"/>
        </c:ser>
        <c:ser>
          <c:idx val="1"/>
          <c:order val="1"/>
          <c:tx>
            <c:v>EBITDA</c:v>
          </c:tx>
          <c:marker>
            <c:symbol val="none"/>
          </c:marker>
          <c:cat>
            <c:strRef>
              <c:f>'FY results'!$O$6:$O$17</c:f>
              <c:strCache>
                <c:ptCount val="0"/>
              </c:strCache>
            </c:strRef>
          </c:cat>
          <c:val>
            <c:numRef>
              <c:f>'FY results'!$Q$6:$Q$17</c:f>
              <c:numCache>
                <c:formatCode>$0"m"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0&quot;m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EPS and leverage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EPS</c:v>
          </c:tx>
          <c:marker>
            <c:symbol val="none"/>
          </c:marker>
          <c:cat>
            <c:strRef>
              <c:f>'FY results'!$S$6:$S$17</c:f>
              <c:strCache>
                <c:ptCount val="0"/>
              </c:strCache>
            </c:strRef>
          </c:cat>
          <c:val>
            <c:numRef>
              <c:f>'FY results'!$T$6:$T$17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Net debt / EBITDA</c:v>
          </c:tx>
          <c:marker>
            <c:symbol val="none"/>
          </c:marker>
          <c:cat>
            <c:strRef>
              <c:f>'FY results'!$S$6:$S$17</c:f>
              <c:strCache>
                <c:ptCount val="0"/>
              </c:strCache>
            </c:strRef>
          </c:cat>
          <c:val>
            <c:numRef>
              <c:f>'FY results'!$U$6:$U$17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14</xdr:col>
      <xdr:colOff>0</xdr:colOff>
      <xdr:row>18</xdr:row>
      <xdr:rowOff>0</xdr:rowOff>
    </xdr:from>
    <xdr:to>
      <xdr:col>21</xdr:col>
      <xdr:colOff>0</xdr:colOff>
      <xdr:row>32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ff3d8386d3a4aea"/>
        </a:graphicData>
      </a:graphic>
    </xdr:graphicFrame>
    <xdr:clientData/>
  </xdr:twoCellAnchor>
  <xdr:twoCellAnchor>
    <xdr:from>
      <xdr:col>14</xdr:col>
      <xdr:colOff>0</xdr:colOff>
      <xdr:row>33</xdr:row>
      <xdr:rowOff>0</xdr:rowOff>
    </xdr:from>
    <xdr:to>
      <xdr:col>21</xdr:col>
      <xdr:colOff>0</xdr:colOff>
      <xdr:row>48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b9d5599834c4e40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blResearchInputs" displayName="tblResearchInputs" ref="A1:D7" headerRowCount="1" totalsRowCount="0" totalsRowShown="0">
  <x:autoFilter ref="A1:D7"/>
  <x:tableColumns count="4">
    <x:tableColumn id="1" name="Metric"/>
    <x:tableColumn id="2" name="Unit"/>
    <x:tableColumn id="3" name="Forecast Value"/>
    <x:tableColumn id="4" name="Descrip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blResearchSegments" displayName="tblResearchSegments" ref="A1:D37" headerRowCount="1" totalsRowCount="0" totalsRowShown="0">
  <x:autoFilter ref="A1:D37"/>
  <x:tableColumns count="4">
    <x:tableColumn id="1" name="Year"/>
    <x:tableColumn id="2" name="Segment"/>
    <x:tableColumn id="3" name="Sort Order"/>
    <x:tableColumn id="4" name="Revenue (USD m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8f21d7793f2402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4aa6ce323c840a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601bedb13fe4583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3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</x:cols>
  <x:sheetData>
    <x:row r="3">
      <x:c r="A3" s="28" t="str">
        <x:v>Northstar Instruments plc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</x:row>
    <x:row r="4">
      <x:c r="A4" s="29" t="str">
        <x:v>12M to Dec (USD millions, except per-share data)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</x:row>
    <x:row r="5">
      <x:c r="A5" s="6" t="str">
        <x:v>Line Item</x:v>
      </x:c>
      <x:c r="B5" s="6" t="n">
        <x:v>2019</x:v>
      </x:c>
      <x:c r="C5" s="6" t="n">
        <x:v>2020</x:v>
      </x:c>
      <x:c r="D5" s="6" t="n">
        <x:v>2021</x:v>
      </x:c>
      <x:c r="E5" s="6" t="n">
        <x:v>2022</x:v>
      </x:c>
      <x:c r="F5" s="6" t="n">
        <x:v>2023</x:v>
      </x:c>
      <x:c r="G5" s="6" t="n">
        <x:v>2024</x:v>
      </x:c>
      <x:c r="H5" s="6" t="n">
        <x:v>2025</x:v>
      </x:c>
      <x:c r="I5" s="6" t="n">
        <x:v>2026</x:v>
      </x:c>
      <x:c r="J5" s="6" t="n">
        <x:v>2027</x:v>
      </x:c>
      <x:c r="K5" s="6" t="n">
        <x:v>2028</x:v>
      </x:c>
      <x:c r="L5" s="6" t="n">
        <x:v>2029</x:v>
      </x:c>
      <x:c r="M5" s="6" t="n">
        <x:v>2030</x:v>
      </x:c>
      <x:c r="N5" s="2"/>
      <x:c r="O5" s="30" t="str">
        <x:v>Year</x:v>
      </x:c>
      <x:c r="P5" s="30" t="str">
        <x:v>Revenue</x:v>
      </x:c>
      <x:c r="Q5" s="30" t="str">
        <x:v>EBITDA</x:v>
      </x:c>
      <x:c r="R5" s="2"/>
      <x:c r="S5" s="30" t="str">
        <x:v>Year</x:v>
      </x:c>
      <x:c r="T5" s="30" t="str">
        <x:v>EPS</x:v>
      </x:c>
      <x:c r="U5" s="30" t="str">
        <x:v>Net debt / EBITDA</x:v>
      </x:c>
    </x:row>
    <x:row r="6">
      <x:c r="A6" s="2"/>
      <x:c r="B6" s="56"/>
      <x:c r="C6" s="56"/>
      <x:c r="D6" s="56"/>
      <x:c r="E6" s="56"/>
      <x:c r="F6" s="56"/>
      <x:c r="G6" s="56"/>
      <x:c r="H6" s="44"/>
      <x:c r="I6" s="44"/>
      <x:c r="J6" s="44"/>
      <x:c r="K6" s="44"/>
      <x:c r="L6" s="44"/>
      <x:c r="M6" s="44"/>
      <x:c r="N6" s="2"/>
      <x:c r="O6" s="2" t="n">
        <x:v>2019</x:v>
      </x:c>
      <x:c r="P6" s="2" t="n">
        <x:f>B8</x:f>
        <x:v>760</x:v>
      </x:c>
      <x:c r="Q6" s="2" t="n">
        <x:f>B18</x:f>
        <x:v>70</x:v>
      </x:c>
      <x:c r="R6" s="2"/>
      <x:c r="S6" s="2" t="n">
        <x:v>2019</x:v>
      </x:c>
      <x:c r="T6" s="2" t="n">
        <x:f>B37</x:f>
        <x:v>0.09573770491803278</x:v>
      </x:c>
      <x:c r="U6" s="2" t="n">
        <x:f>B57</x:f>
        <x:v>4.214285714285714</x:v>
      </x:c>
    </x:row>
    <x:row r="7">
      <x:c r="A7" s="65" t="str">
        <x:v>PROFIT AND LOSS</x:v>
      </x:c>
      <x:c r="B7" s="66"/>
      <x:c r="C7" s="66"/>
      <x:c r="D7" s="66"/>
      <x:c r="E7" s="66"/>
      <x:c r="F7" s="66"/>
      <x:c r="G7" s="66"/>
      <x:c r="H7" s="66"/>
      <x:c r="I7" s="66"/>
      <x:c r="J7" s="66"/>
      <x:c r="K7" s="66"/>
      <x:c r="L7" s="66"/>
      <x:c r="M7" s="67"/>
      <x:c r="N7" s="2"/>
      <x:c r="O7" s="2" t="n">
        <x:v>2020</x:v>
      </x:c>
      <x:c r="P7" s="2" t="n">
        <x:f>C8</x:f>
        <x:v>815</x:v>
      </x:c>
      <x:c r="Q7" s="2" t="n">
        <x:f>C18</x:f>
        <x:v>90</x:v>
      </x:c>
      <x:c r="R7" s="2"/>
      <x:c r="S7" s="2" t="n">
        <x:v>2020</x:v>
      </x:c>
      <x:c r="T7" s="2" t="n">
        <x:f>C37</x:f>
        <x:v>0.1990909090909091</x:v>
      </x:c>
      <x:c r="U7" s="2" t="n">
        <x:f>C57</x:f>
        <x:v>2.922222222222222</x:v>
      </x:c>
    </x:row>
    <x:row r="8">
      <x:c r="A8" s="2" t="str">
        <x:v>Revenue</x:v>
      </x:c>
      <x:c r="B8" s="58" t="n">
        <x:v>760</x:v>
      </x:c>
      <x:c r="C8" s="58" t="n">
        <x:v>815</x:v>
      </x:c>
      <x:c r="D8" s="58" t="n">
        <x:v>872</x:v>
      </x:c>
      <x:c r="E8" s="58" t="n">
        <x:v>948</x:v>
      </x:c>
      <x:c r="F8" s="58" t="n">
        <x:v>1045</x:v>
      </x:c>
      <x:c r="G8" s="58" t="n">
        <x:v>1158</x:v>
      </x:c>
      <x:c r="H8" s="47" t="n">
        <x:f>G8*(1+'Model Inputs'!$C$2)</x:f>
        <x:v>1241.955</x:v>
      </x:c>
      <x:c r="I8" s="47" t="n">
        <x:f>H8*(1+'Model Inputs'!$C$3)</x:f>
        <x:v>1322.682075</x:v>
      </x:c>
      <x:c r="J8" s="47" t="n">
        <x:f>I8*(1+'Model Inputs'!$C$4)</x:f>
        <x:v>1399.39763535</x:v>
      </x:c>
      <x:c r="K8" s="47" t="n">
        <x:f>J8*(1+'Model Inputs'!$C$5)</x:f>
        <x:v>1484.7608911063498</x:v>
      </x:c>
      <x:c r="L8" s="47" t="n">
        <x:f>K8*(1+'Model Inputs'!$C$6)</x:f>
        <x:v>1566.422740117199</x:v>
      </x:c>
      <x:c r="M8" s="47" t="n">
        <x:f>L8*(1+'Model Inputs'!$C$7)</x:f>
        <x:v>1644.743877123059</x:v>
      </x:c>
      <x:c r="N8" s="2"/>
      <x:c r="O8" s="2" t="n">
        <x:v>2021</x:v>
      </x:c>
      <x:c r="P8" s="2" t="n">
        <x:f>D8</x:f>
        <x:v>872</x:v>
      </x:c>
      <x:c r="Q8" s="2" t="n">
        <x:f>D18</x:f>
        <x:v>104</x:v>
      </x:c>
      <x:c r="R8" s="2"/>
      <x:c r="S8" s="2" t="n">
        <x:v>2021</x:v>
      </x:c>
      <x:c r="T8" s="2" t="n">
        <x:f>D37</x:f>
        <x:v>0.26337499999999997</x:v>
      </x:c>
      <x:c r="U8" s="2" t="n">
        <x:f>D57</x:f>
        <x:v>2.230769230769231</x:v>
      </x:c>
    </x:row>
    <x:row r="9">
      <x:c r="A9" s="29" t="str">
        <x:v>   % growth</x:v>
      </x:c>
      <x:c r="B9" s="59"/>
      <x:c r="C9" s="59" t="n">
        <x:f>C8/B8-1</x:f>
        <x:v>0.07236842105263164</x:v>
      </x:c>
      <x:c r="D9" s="59" t="n">
        <x:f>D8/C8-1</x:f>
        <x:v>0.0699386503067485</x:v>
      </x:c>
      <x:c r="E9" s="59" t="n">
        <x:f>E8/D8-1</x:f>
        <x:v>0.08715596330275233</x:v>
      </x:c>
      <x:c r="F9" s="59" t="n">
        <x:f>F8/E8-1</x:f>
        <x:v>0.10232067510548526</x:v>
      </x:c>
      <x:c r="G9" s="59" t="n">
        <x:f>G8/F8-1</x:f>
        <x:v>0.10813397129186608</x:v>
      </x:c>
      <x:c r="H9" s="48" t="n">
        <x:f>H8/G8-1</x:f>
        <x:v>0.07250000000000001</x:v>
      </x:c>
      <x:c r="I9" s="48" t="n">
        <x:f>I8/H8-1</x:f>
        <x:v>0.06499999999999995</x:v>
      </x:c>
      <x:c r="J9" s="48" t="n">
        <x:f>J8/I8-1</x:f>
        <x:v>0.05800000000000005</x:v>
      </x:c>
      <x:c r="K9" s="48" t="n">
        <x:f>K8/J8-1</x:f>
        <x:v>0.06099999999999994</x:v>
      </x:c>
      <x:c r="L9" s="48" t="n">
        <x:f>L8/K8-1</x:f>
        <x:v>0.05499999999999994</x:v>
      </x:c>
      <x:c r="M9" s="48" t="n">
        <x:f>M8/L8-1</x:f>
        <x:v>0.050000000000000044</x:v>
      </x:c>
      <x:c r="N9" s="2"/>
      <x:c r="O9" s="2" t="n">
        <x:v>2022</x:v>
      </x:c>
      <x:c r="P9" s="2" t="n">
        <x:f>E8</x:f>
        <x:v>948</x:v>
      </x:c>
      <x:c r="Q9" s="2" t="n">
        <x:f>E18</x:f>
        <x:v>120</x:v>
      </x:c>
      <x:c r="R9" s="2"/>
      <x:c r="S9" s="2" t="n">
        <x:v>2022</x:v>
      </x:c>
      <x:c r="T9" s="2" t="n">
        <x:f>E37</x:f>
        <x:v>0.3420168067226891</x:v>
      </x:c>
      <x:c r="U9" s="2" t="n">
        <x:f>E57</x:f>
        <x:v>1.6333333333333333</x:v>
      </x:c>
    </x:row>
    <x:row r="10">
      <x:c r="A10" s="2"/>
      <x:c r="B10" s="58"/>
      <x:c r="C10" s="58"/>
      <x:c r="D10" s="58"/>
      <x:c r="E10" s="58"/>
      <x:c r="F10" s="58"/>
      <x:c r="G10" s="58"/>
      <x:c r="H10" s="47"/>
      <x:c r="I10" s="47"/>
      <x:c r="J10" s="47"/>
      <x:c r="K10" s="47"/>
      <x:c r="L10" s="47"/>
      <x:c r="M10" s="47"/>
      <x:c r="N10" s="2"/>
      <x:c r="O10" s="2" t="n">
        <x:v>2023</x:v>
      </x:c>
      <x:c r="P10" s="2" t="n">
        <x:f>F8</x:f>
        <x:v>1045</x:v>
      </x:c>
      <x:c r="Q10" s="2" t="n">
        <x:f>F18</x:f>
        <x:v>143</x:v>
      </x:c>
      <x:c r="R10" s="2"/>
      <x:c r="S10" s="2" t="n">
        <x:v>2023</x:v>
      </x:c>
      <x:c r="T10" s="2" t="n">
        <x:f>F37</x:f>
        <x:v>0.46088983050847454</x:v>
      </x:c>
      <x:c r="U10" s="2" t="n">
        <x:f>F57</x:f>
        <x:v>1.013986013986014</x:v>
      </x:c>
    </x:row>
    <x:row r="11">
      <x:c r="A11" s="2" t="str">
        <x:v>- COGS</x:v>
      </x:c>
      <x:c r="B11" s="58" t="n">
        <x:v>-452</x:v>
      </x:c>
      <x:c r="C11" s="58" t="n">
        <x:v>-478</x:v>
      </x:c>
      <x:c r="D11" s="58" t="n">
        <x:v>-502</x:v>
      </x:c>
      <x:c r="E11" s="58" t="n">
        <x:v>-536</x:v>
      </x:c>
      <x:c r="F11" s="58" t="n">
        <x:v>-577</x:v>
      </x:c>
      <x:c r="G11" s="58" t="n">
        <x:v>-626</x:v>
      </x:c>
      <x:c r="H11" s="47" t="n">
        <x:f>H13-H8</x:f>
        <x:v>-639.9549999999999</x:v>
      </x:c>
      <x:c r="I11" s="47" t="n">
        <x:f>I13-I8</x:f>
        <x:v>-647.6820749999999</x:v>
      </x:c>
      <x:c r="J11" s="47" t="n">
        <x:f>J13-J8</x:f>
        <x:v>-648.39763535</x:v>
      </x:c>
      <x:c r="K11" s="47" t="n">
        <x:f>K13-K8</x:f>
        <x:v>-649.7608911063498</x:v>
      </x:c>
      <x:c r="L11" s="47" t="n">
        <x:f>L13-L8</x:f>
        <x:v>-643.422740117199</x:v>
      </x:c>
      <x:c r="M11" s="47" t="n">
        <x:f>M13-M8</x:f>
        <x:v>-626.7438771230591</x:v>
      </x:c>
      <x:c r="N11" s="2"/>
      <x:c r="O11" s="2" t="n">
        <x:v>2024</x:v>
      </x:c>
      <x:c r="P11" s="2" t="n">
        <x:f>G8</x:f>
        <x:v>1158</x:v>
      </x:c>
      <x:c r="Q11" s="2" t="n">
        <x:f>G18</x:f>
        <x:v>178</x:v>
      </x:c>
      <x:c r="R11" s="2"/>
      <x:c r="S11" s="2" t="n">
        <x:v>2024</x:v>
      </x:c>
      <x:c r="T11" s="2" t="n">
        <x:f>G37</x:f>
        <x:v>0.6594827586206896</x:v>
      </x:c>
      <x:c r="U11" s="2" t="n">
        <x:f>G57</x:f>
        <x:v>0.4887640449438202</x:v>
      </x:c>
    </x:row>
    <x:row r="12">
      <x:c r="A12" s="2"/>
      <x:c r="B12" s="58"/>
      <x:c r="C12" s="58"/>
      <x:c r="D12" s="58"/>
      <x:c r="E12" s="58"/>
      <x:c r="F12" s="58"/>
      <x:c r="G12" s="58"/>
      <x:c r="H12" s="47"/>
      <x:c r="I12" s="47"/>
      <x:c r="J12" s="47"/>
      <x:c r="K12" s="47"/>
      <x:c r="L12" s="47"/>
      <x:c r="M12" s="47"/>
      <x:c r="N12" s="2"/>
      <x:c r="O12" s="2" t="n">
        <x:v>2025</x:v>
      </x:c>
      <x:c r="P12" s="2" t="n">
        <x:f>H8</x:f>
        <x:v>1241.955</x:v>
      </x:c>
      <x:c r="Q12" s="2" t="n">
        <x:f>H18</x:f>
        <x:v>232.07000000000005</x:v>
      </x:c>
      <x:c r="R12" s="2"/>
      <x:c r="S12" s="2" t="n">
        <x:v>2025</x:v>
      </x:c>
      <x:c r="T12" s="2" t="n">
        <x:f>H37</x:f>
        <x:v>0.9918073913043481</x:v>
      </x:c>
      <x:c r="U12" s="2" t="n">
        <x:f>H57</x:f>
        <x:v>0.09479898306545437</x:v>
      </x:c>
    </x:row>
    <x:row r="13">
      <x:c r="A13" s="28" t="str">
        <x:v>Gross profit</x:v>
      </x:c>
      <x:c r="B13" s="60" t="n">
        <x:f>B8+B11</x:f>
        <x:v>308</x:v>
      </x:c>
      <x:c r="C13" s="60" t="n">
        <x:f>C8+C11</x:f>
        <x:v>337</x:v>
      </x:c>
      <x:c r="D13" s="60" t="n">
        <x:f>D8+D11</x:f>
        <x:v>370</x:v>
      </x:c>
      <x:c r="E13" s="60" t="n">
        <x:f>E8+E11</x:f>
        <x:v>412</x:v>
      </x:c>
      <x:c r="F13" s="60" t="n">
        <x:f>F8+F11</x:f>
        <x:v>468</x:v>
      </x:c>
      <x:c r="G13" s="60" t="n">
        <x:f>G8+G11</x:f>
        <x:v>532</x:v>
      </x:c>
      <x:c r="H13" s="49" t="n">
        <x:v>602</x:v>
      </x:c>
      <x:c r="I13" s="49" t="n">
        <x:v>675</x:v>
      </x:c>
      <x:c r="J13" s="49" t="n">
        <x:v>751</x:v>
      </x:c>
      <x:c r="K13" s="49" t="n">
        <x:v>835</x:v>
      </x:c>
      <x:c r="L13" s="49" t="n">
        <x:v>923</x:v>
      </x:c>
      <x:c r="M13" s="49" t="n">
        <x:v>1018</x:v>
      </x:c>
      <x:c r="N13" s="2"/>
      <x:c r="O13" s="2" t="n">
        <x:v>2026</x:v>
      </x:c>
      <x:c r="P13" s="2" t="n">
        <x:f>I8</x:f>
        <x:v>1322.682075</x:v>
      </x:c>
      <x:c r="Q13" s="2" t="n">
        <x:f>I18</x:f>
        <x:v>288.4231500000001</x:v>
      </x:c>
      <x:c r="R13" s="2"/>
      <x:c r="S13" s="2" t="n">
        <x:v>2026</x:v>
      </x:c>
      <x:c r="T13" s="2" t="n">
        <x:f>I37</x:f>
        <x:v>1.3406094583333337</x:v>
      </x:c>
      <x:c r="U13" s="2" t="n">
        <x:f>I57</x:f>
        <x:v>-0.16295501938731335</x:v>
      </x:c>
    </x:row>
    <x:row r="14">
      <x:c r="A14" s="29" t="str">
        <x:v>   % margin</x:v>
      </x:c>
      <x:c r="B14" s="59" t="n">
        <x:f>B13/B8</x:f>
        <x:v>0.4052631578947368</x:v>
      </x:c>
      <x:c r="C14" s="59" t="n">
        <x:f>C13/C8</x:f>
        <x:v>0.4134969325153374</x:v>
      </x:c>
      <x:c r="D14" s="59" t="n">
        <x:f>D13/D8</x:f>
        <x:v>0.4243119266055046</x:v>
      </x:c>
      <x:c r="E14" s="59" t="n">
        <x:f>E13/E8</x:f>
        <x:v>0.4345991561181435</x:v>
      </x:c>
      <x:c r="F14" s="59" t="n">
        <x:f>F13/F8</x:f>
        <x:v>0.4478468899521531</x:v>
      </x:c>
      <x:c r="G14" s="59" t="n">
        <x:f>G13/G8</x:f>
        <x:v>0.459412780656304</x:v>
      </x:c>
      <x:c r="H14" s="48" t="n">
        <x:f>H13/H8</x:f>
        <x:v>0.4847196557041117</x:v>
      </x:c>
      <x:c r="I14" s="48" t="n">
        <x:f>I13/I8</x:f>
        <x:v>0.5103267162670213</x:v>
      </x:c>
      <x:c r="J14" s="48" t="n">
        <x:f>J13/J8</x:f>
        <x:v>0.5366594747833551</x:v>
      </x:c>
      <x:c r="K14" s="48" t="n">
        <x:f>K13/K8</x:f>
        <x:v>0.5623801145366988</x:v>
      </x:c>
      <x:c r="L14" s="48" t="n">
        <x:f>L13/L8</x:f>
        <x:v>0.5892406796462503</x:v>
      </x:c>
      <x:c r="M14" s="48" t="n">
        <x:f>M13/M8</x:f>
        <x:v>0.6189413526078344</x:v>
      </x:c>
      <x:c r="N14" s="2"/>
      <x:c r="O14" s="2" t="n">
        <x:v>2027</x:v>
      </x:c>
      <x:c r="P14" s="2" t="n">
        <x:f>J8</x:f>
        <x:v>1399.39763535</x:v>
      </x:c>
      <x:c r="Q14" s="2" t="n">
        <x:f>J18</x:f>
        <x:v>347.0271917500001</x:v>
      </x:c>
      <x:c r="R14" s="2"/>
      <x:c r="S14" s="2" t="n">
        <x:v>2027</x:v>
      </x:c>
      <x:c r="T14" s="2" t="n">
        <x:f>J37</x:f>
        <x:v>1.721952794070797</x:v>
      </x:c>
      <x:c r="U14" s="2" t="n">
        <x:f>J57</x:f>
        <x:v>-0.3544390840952018</x:v>
      </x:c>
    </x:row>
    <x:row r="15">
      <x:c r="A15" s="2"/>
      <x:c r="B15" s="58"/>
      <x:c r="C15" s="58"/>
      <x:c r="D15" s="58"/>
      <x:c r="E15" s="58"/>
      <x:c r="F15" s="58"/>
      <x:c r="G15" s="58"/>
      <x:c r="H15" s="47"/>
      <x:c r="I15" s="47"/>
      <x:c r="J15" s="47"/>
      <x:c r="K15" s="47"/>
      <x:c r="L15" s="47"/>
      <x:c r="M15" s="47"/>
      <x:c r="N15" s="2"/>
      <x:c r="O15" s="2" t="n">
        <x:v>2028</x:v>
      </x:c>
      <x:c r="P15" s="2" t="n">
        <x:f>K8</x:f>
        <x:v>1484.7608911063498</x:v>
      </x:c>
      <x:c r="Q15" s="2" t="n">
        <x:f>K18</x:f>
        <x:v>412.84841537875013</x:v>
      </x:c>
      <x:c r="R15" s="2"/>
      <x:c r="S15" s="2" t="n">
        <x:v>2028</x:v>
      </x:c>
      <x:c r="T15" s="2" t="n">
        <x:f>K37</x:f>
        <x:v>2.150042818641519</x:v>
      </x:c>
      <x:c r="U15" s="2" t="n">
        <x:f>K57</x:f>
        <x:v>-0.49897248560591934</x:v>
      </x:c>
    </x:row>
    <x:row r="16">
      <x:c r="A16" s="2" t="str">
        <x:v>- Opex</x:v>
      </x:c>
      <x:c r="B16" s="58" t="n">
        <x:v>-238</x:v>
      </x:c>
      <x:c r="C16" s="58" t="n">
        <x:v>-247</x:v>
      </x:c>
      <x:c r="D16" s="58" t="n">
        <x:v>-266</x:v>
      </x:c>
      <x:c r="E16" s="58" t="n">
        <x:v>-292</x:v>
      </x:c>
      <x:c r="F16" s="58" t="n">
        <x:v>-325</x:v>
      </x:c>
      <x:c r="G16" s="58" t="n">
        <x:v>-354</x:v>
      </x:c>
      <x:c r="H16" s="47" t="n">
        <x:f>G16*104.5%</x:f>
        <x:v>-369.92999999999995</x:v>
      </x:c>
      <x:c r="I16" s="47" t="n">
        <x:f>H16*104.5%</x:f>
        <x:v>-386.5768499999999</x:v>
      </x:c>
      <x:c r="J16" s="47" t="n">
        <x:f>I16*104.5%</x:f>
        <x:v>-403.9728082499999</x:v>
      </x:c>
      <x:c r="K16" s="47" t="n">
        <x:f>J16*104.5%</x:f>
        <x:v>-422.15158462124987</x:v>
      </x:c>
      <x:c r="L16" s="47" t="n">
        <x:f>K16*104.5%</x:f>
        <x:v>-441.1484059292061</x:v>
      </x:c>
      <x:c r="M16" s="47" t="n">
        <x:f>L16*104.5%</x:f>
        <x:v>-461.00008419602034</x:v>
      </x:c>
      <x:c r="N16" s="2"/>
      <x:c r="O16" s="2" t="n">
        <x:v>2029</x:v>
      </x:c>
      <x:c r="P16" s="2" t="n">
        <x:f>L8</x:f>
        <x:v>1566.422740117199</x:v>
      </x:c>
      <x:c r="Q16" s="2" t="n">
        <x:f>L18</x:f>
        <x:v>481.8515940707939</x:v>
      </x:c>
      <x:c r="R16" s="2"/>
      <x:c r="S16" s="2" t="n">
        <x:v>2029</x:v>
      </x:c>
      <x:c r="T16" s="2" t="n">
        <x:f>L37</x:f>
        <x:v>2.6247880131906065</x:v>
      </x:c>
      <x:c r="U16" s="2" t="n">
        <x:f>L57</x:f>
        <x:v>-0.6142970234866786</x:v>
      </x:c>
    </x:row>
    <x:row r="17">
      <x:c r="A17" s="2"/>
      <x:c r="B17" s="58"/>
      <x:c r="C17" s="58"/>
      <x:c r="D17" s="58"/>
      <x:c r="E17" s="58"/>
      <x:c r="F17" s="58"/>
      <x:c r="G17" s="58"/>
      <x:c r="H17" s="47"/>
      <x:c r="I17" s="47"/>
      <x:c r="J17" s="47"/>
      <x:c r="K17" s="47"/>
      <x:c r="L17" s="47"/>
      <x:c r="M17" s="47"/>
      <x:c r="N17" s="2"/>
      <x:c r="O17" s="2" t="n">
        <x:v>2030</x:v>
      </x:c>
      <x:c r="P17" s="2" t="n">
        <x:f>M8</x:f>
        <x:v>1644.743877123059</x:v>
      </x:c>
      <x:c r="Q17" s="2" t="n">
        <x:f>M18</x:f>
        <x:v>556.9999158039797</x:v>
      </x:c>
      <x:c r="R17" s="2"/>
      <x:c r="S17" s="2" t="n">
        <x:v>2030</x:v>
      </x:c>
      <x:c r="T17" s="2" t="n">
        <x:f>M37</x:f>
        <x:v>3.1364994144549496</x:v>
      </x:c>
      <x:c r="U17" s="2" t="n">
        <x:f>M57</x:f>
        <x:v>-0.7055656362761555</x:v>
      </x:c>
    </x:row>
    <x:row r="18">
      <x:c r="A18" s="28" t="str">
        <x:v>EBITDA</x:v>
      </x:c>
      <x:c r="B18" s="60" t="n">
        <x:f>B13+B16</x:f>
        <x:v>70</x:v>
      </x:c>
      <x:c r="C18" s="60" t="n">
        <x:f>C13+C16</x:f>
        <x:v>90</x:v>
      </x:c>
      <x:c r="D18" s="60" t="n">
        <x:f>D13+D16</x:f>
        <x:v>104</x:v>
      </x:c>
      <x:c r="E18" s="60" t="n">
        <x:f>E13+E16</x:f>
        <x:v>120</x:v>
      </x:c>
      <x:c r="F18" s="60" t="n">
        <x:f>F13+F16</x:f>
        <x:v>143</x:v>
      </x:c>
      <x:c r="G18" s="60" t="n">
        <x:f>G13+G16</x:f>
        <x:v>178</x:v>
      </x:c>
      <x:c r="H18" s="49" t="n">
        <x:f>H13+H16</x:f>
        <x:v>232.07000000000005</x:v>
      </x:c>
      <x:c r="I18" s="49" t="n">
        <x:f>I13+I16</x:f>
        <x:v>288.4231500000001</x:v>
      </x:c>
      <x:c r="J18" s="49" t="n">
        <x:f>J13+J16</x:f>
        <x:v>347.0271917500001</x:v>
      </x:c>
      <x:c r="K18" s="49" t="n">
        <x:f>K13+K16</x:f>
        <x:v>412.84841537875013</x:v>
      </x:c>
      <x:c r="L18" s="49" t="n">
        <x:f>L13+L16</x:f>
        <x:v>481.8515940707939</x:v>
      </x:c>
      <x:c r="M18" s="49" t="n">
        <x:f>M13+M16</x:f>
        <x:v>556.9999158039797</x:v>
      </x:c>
      <x:c r="N18" s="2"/>
      <x:c r="O18" s="2"/>
      <x:c r="P18" s="2"/>
      <x:c r="Q18" s="2"/>
      <x:c r="R18" s="2"/>
      <x:c r="S18" s="2"/>
      <x:c r="T18" s="2"/>
      <x:c r="U18" s="2"/>
    </x:row>
    <x:row r="19">
      <x:c r="A19" s="29" t="str">
        <x:v>   % margin</x:v>
      </x:c>
      <x:c r="B19" s="59" t="n">
        <x:f>B18/B8</x:f>
        <x:v>0.09210526315789473</x:v>
      </x:c>
      <x:c r="C19" s="59" t="n">
        <x:f>C18/C8</x:f>
        <x:v>0.11042944785276074</x:v>
      </x:c>
      <x:c r="D19" s="59" t="n">
        <x:f>D18/D8</x:f>
        <x:v>0.11926605504587157</x:v>
      </x:c>
      <x:c r="E19" s="59" t="n">
        <x:f>E18/E8</x:f>
        <x:v>0.12658227848101267</x:v>
      </x:c>
      <x:c r="F19" s="59" t="n">
        <x:f>F18/F8</x:f>
        <x:v>0.1368421052631579</x:v>
      </x:c>
      <x:c r="G19" s="59" t="n">
        <x:f>G18/G8</x:f>
        <x:v>0.153713298791019</x:v>
      </x:c>
      <x:c r="H19" s="48" t="n">
        <x:f>H18/H8</x:f>
        <x:v>0.18685862209178278</x:v>
      </x:c>
      <x:c r="I19" s="48" t="n">
        <x:f>I18/I8</x:f>
        <x:v>0.21805931708872678</x:v>
      </x:c>
      <x:c r="J19" s="48" t="n">
        <x:f>J18/J8</x:f>
        <x:v>0.24798326292955752</x:v>
      </x:c>
      <x:c r="K19" s="48" t="n">
        <x:f>K18/K8</x:f>
        <x:v>0.27805717260718094</x:v>
      </x:c>
      <x:c r="L19" s="48" t="n">
        <x:f>L18/L8</x:f>
        <x:v>0.3076127419056378</x:v>
      </x:c>
      <x:c r="M19" s="48" t="n">
        <x:f>M18/M8</x:f>
        <x:v>0.33865450028503447</x:v>
      </x:c>
      <x:c r="N19" s="2"/>
      <x:c r="O19" s="2"/>
      <x:c r="P19" s="2"/>
      <x:c r="Q19" s="2"/>
      <x:c r="R19" s="2"/>
      <x:c r="S19" s="2"/>
      <x:c r="T19" s="2"/>
      <x:c r="U19" s="2"/>
    </x:row>
    <x:row r="20">
      <x:c r="A20" s="2" t="str">
        <x:v>- D&amp;A</x:v>
      </x:c>
      <x:c r="B20" s="58" t="n">
        <x:v>-39</x:v>
      </x:c>
      <x:c r="C20" s="58" t="n">
        <x:v>-42</x:v>
      </x:c>
      <x:c r="D20" s="58" t="n">
        <x:v>-46</x:v>
      </x:c>
      <x:c r="E20" s="58" t="n">
        <x:v>-50</x:v>
      </x:c>
      <x:c r="F20" s="58" t="n">
        <x:v>-55</x:v>
      </x:c>
      <x:c r="G20" s="58" t="n">
        <x:v>-61</x:v>
      </x:c>
      <x:c r="H20" s="47" t="n">
        <x:v>-66</x:v>
      </x:c>
      <x:c r="I20" s="47" t="n">
        <x:v>-71</x:v>
      </x:c>
      <x:c r="J20" s="47" t="n">
        <x:v>-76</x:v>
      </x:c>
      <x:c r="K20" s="47" t="n">
        <x:v>-81</x:v>
      </x:c>
      <x:c r="L20" s="47" t="n">
        <x:v>-86</x:v>
      </x:c>
      <x:c r="M20" s="47" t="n">
        <x:v>-91</x:v>
      </x:c>
      <x:c r="N20" s="2"/>
      <x:c r="O20" s="2"/>
      <x:c r="P20" s="2"/>
      <x:c r="Q20" s="2"/>
      <x:c r="R20" s="2"/>
      <x:c r="S20" s="2"/>
      <x:c r="T20" s="2"/>
      <x:c r="U20" s="2"/>
    </x:row>
    <x:row r="21">
      <x:c r="A21" s="2"/>
      <x:c r="B21" s="58"/>
      <x:c r="C21" s="58"/>
      <x:c r="D21" s="58"/>
      <x:c r="E21" s="58"/>
      <x:c r="F21" s="58"/>
      <x:c r="G21" s="58"/>
      <x:c r="H21" s="47"/>
      <x:c r="I21" s="47"/>
      <x:c r="J21" s="47"/>
      <x:c r="K21" s="47"/>
      <x:c r="L21" s="47"/>
      <x:c r="M21" s="47"/>
      <x:c r="N21" s="2"/>
      <x:c r="O21" s="2"/>
      <x:c r="P21" s="2"/>
      <x:c r="Q21" s="2"/>
      <x:c r="R21" s="2"/>
      <x:c r="S21" s="2"/>
      <x:c r="T21" s="2"/>
      <x:c r="U21" s="2"/>
    </x:row>
    <x:row r="22">
      <x:c r="A22" s="28" t="str">
        <x:v>EBIT</x:v>
      </x:c>
      <x:c r="B22" s="60" t="n">
        <x:f>B18+B20</x:f>
        <x:v>31</x:v>
      </x:c>
      <x:c r="C22" s="60" t="n">
        <x:f>C18+C20</x:f>
        <x:v>48</x:v>
      </x:c>
      <x:c r="D22" s="60" t="n">
        <x:f>D18+D20</x:f>
        <x:v>58</x:v>
      </x:c>
      <x:c r="E22" s="60" t="n">
        <x:f>E18+E20</x:f>
        <x:v>70</x:v>
      </x:c>
      <x:c r="F22" s="60" t="n">
        <x:f>F18+F20</x:f>
        <x:v>88</x:v>
      </x:c>
      <x:c r="G22" s="60" t="n">
        <x:f>G18+G20</x:f>
        <x:v>117</x:v>
      </x:c>
      <x:c r="H22" s="49" t="n">
        <x:f>H18+H20</x:f>
        <x:v>166.07000000000005</x:v>
      </x:c>
      <x:c r="I22" s="49" t="n">
        <x:f>I18+I20</x:f>
        <x:v>217.42315000000008</x:v>
      </x:c>
      <x:c r="J22" s="49" t="n">
        <x:f>J18+J20</x:f>
        <x:v>271.0271917500001</x:v>
      </x:c>
      <x:c r="K22" s="49" t="n">
        <x:f>K18+K20</x:f>
        <x:v>331.84841537875013</x:v>
      </x:c>
      <x:c r="L22" s="49" t="n">
        <x:f>L18+L20</x:f>
        <x:v>395.8515940707939</x:v>
      </x:c>
      <x:c r="M22" s="49" t="n">
        <x:f>M18+M20</x:f>
        <x:v>465.99991580397966</x:v>
      </x:c>
      <x:c r="N22" s="2"/>
      <x:c r="O22" s="2"/>
      <x:c r="P22" s="2"/>
      <x:c r="Q22" s="2"/>
      <x:c r="R22" s="2"/>
      <x:c r="S22" s="2"/>
      <x:c r="T22" s="2"/>
      <x:c r="U22" s="2"/>
    </x:row>
    <x:row r="23">
      <x:c r="A23" s="29" t="str">
        <x:v>   % margin</x:v>
      </x:c>
      <x:c r="B23" s="59" t="n">
        <x:f>B22/B8</x:f>
        <x:v>0.04078947368421053</x:v>
      </x:c>
      <x:c r="C23" s="59" t="n">
        <x:f>C22/C8</x:f>
        <x:v>0.05889570552147239</x:v>
      </x:c>
      <x:c r="D23" s="59" t="n">
        <x:f>D22/D8</x:f>
        <x:v>0.06651376146788991</x:v>
      </x:c>
      <x:c r="E23" s="59" t="n">
        <x:f>E22/E8</x:f>
        <x:v>0.07383966244725738</x:v>
      </x:c>
      <x:c r="F23" s="59" t="n">
        <x:f>F22/F8</x:f>
        <x:v>0.08421052631578947</x:v>
      </x:c>
      <x:c r="G23" s="59" t="n">
        <x:f>G22/G8</x:f>
        <x:v>0.10103626943005181</x:v>
      </x:c>
      <x:c r="H23" s="48" t="n">
        <x:f>H22/H8</x:f>
        <x:v>0.1337166000378436</x:v>
      </x:c>
      <x:c r="I23" s="48" t="n">
        <x:f>I22/I8</x:f>
        <x:v>0.16438050693323267</x:v>
      </x:c>
      <x:c r="J23" s="48" t="n">
        <x:f>J22/J8</x:f>
        <x:v>0.19367418159329255</x:v>
      </x:c>
      <x:c r="K23" s="48" t="n">
        <x:f>K22/K8</x:f>
        <x:v>0.22350293395152515</x:v>
      </x:c>
      <x:c r="L23" s="48" t="n">
        <x:f>L22/L8</x:f>
        <x:v>0.2527105767381649</x:v>
      </x:c>
      <x:c r="M23" s="48" t="n">
        <x:f>M22/M8</x:f>
        <x:v>0.28332673693796867</x:v>
      </x:c>
      <x:c r="N23" s="2"/>
      <x:c r="O23" s="2"/>
      <x:c r="P23" s="2"/>
      <x:c r="Q23" s="2"/>
      <x:c r="R23" s="2"/>
      <x:c r="S23" s="2"/>
      <x:c r="T23" s="2"/>
      <x:c r="U23" s="2"/>
    </x:row>
    <x:row r="24">
      <x:c r="A24" s="2"/>
      <x:c r="B24" s="58"/>
      <x:c r="C24" s="58"/>
      <x:c r="D24" s="58"/>
      <x:c r="E24" s="58"/>
      <x:c r="F24" s="58"/>
      <x:c r="G24" s="58"/>
      <x:c r="H24" s="47"/>
      <x:c r="I24" s="47"/>
      <x:c r="J24" s="47"/>
      <x:c r="K24" s="47"/>
      <x:c r="L24" s="47"/>
      <x:c r="M24" s="47"/>
      <x:c r="N24" s="2"/>
      <x:c r="O24" s="2"/>
      <x:c r="P24" s="2"/>
      <x:c r="Q24" s="2"/>
      <x:c r="R24" s="2"/>
      <x:c r="S24" s="2"/>
      <x:c r="T24" s="2"/>
      <x:c r="U24" s="2"/>
    </x:row>
    <x:row r="25">
      <x:c r="A25" s="2" t="str">
        <x:v>- Net financial</x:v>
      </x:c>
      <x:c r="B25" s="58" t="n">
        <x:v>-15</x:v>
      </x:c>
      <x:c r="C25" s="58" t="n">
        <x:f>B25</x:f>
        <x:v>-15</x:v>
      </x:c>
      <x:c r="D25" s="58" t="n">
        <x:f>C25</x:f>
        <x:v>-15</x:v>
      </x:c>
      <x:c r="E25" s="58" t="n">
        <x:f>D25</x:f>
        <x:v>-15</x:v>
      </x:c>
      <x:c r="F25" s="58" t="n">
        <x:f>E25</x:f>
        <x:v>-15</x:v>
      </x:c>
      <x:c r="G25" s="58" t="n">
        <x:f>F25</x:f>
        <x:v>-15</x:v>
      </x:c>
      <x:c r="H25" s="47" t="n">
        <x:f>G25</x:f>
        <x:v>-15</x:v>
      </x:c>
      <x:c r="I25" s="47" t="n">
        <x:f>H25</x:f>
        <x:v>-15</x:v>
      </x:c>
      <x:c r="J25" s="47" t="n">
        <x:f>I25</x:f>
        <x:v>-15</x:v>
      </x:c>
      <x:c r="K25" s="47" t="n">
        <x:f>J25</x:f>
        <x:v>-15</x:v>
      </x:c>
      <x:c r="L25" s="47" t="n">
        <x:f>K25</x:f>
        <x:v>-15</x:v>
      </x:c>
      <x:c r="M25" s="47" t="n">
        <x:f>L25</x:f>
        <x:v>-15</x:v>
      </x:c>
      <x:c r="N25" s="2"/>
      <x:c r="O25" s="2"/>
      <x:c r="P25" s="2"/>
      <x:c r="Q25" s="2"/>
      <x:c r="R25" s="2"/>
      <x:c r="S25" s="2"/>
      <x:c r="T25" s="2"/>
      <x:c r="U25" s="2"/>
    </x:row>
    <x:row r="26">
      <x:c r="A26" s="2"/>
      <x:c r="B26" s="58"/>
      <x:c r="C26" s="58"/>
      <x:c r="D26" s="58"/>
      <x:c r="E26" s="58"/>
      <x:c r="F26" s="58"/>
      <x:c r="G26" s="58"/>
      <x:c r="H26" s="47"/>
      <x:c r="I26" s="47"/>
      <x:c r="J26" s="47"/>
      <x:c r="K26" s="47"/>
      <x:c r="L26" s="47"/>
      <x:c r="M26" s="47"/>
      <x:c r="N26" s="2"/>
      <x:c r="O26" s="2"/>
      <x:c r="P26" s="2"/>
      <x:c r="Q26" s="2"/>
      <x:c r="R26" s="2"/>
      <x:c r="S26" s="2"/>
      <x:c r="T26" s="2"/>
      <x:c r="U26" s="2"/>
    </x:row>
    <x:row r="27">
      <x:c r="A27" s="28" t="str">
        <x:v>PBT</x:v>
      </x:c>
      <x:c r="B27" s="60" t="n">
        <x:f>B22+B25</x:f>
        <x:v>16</x:v>
      </x:c>
      <x:c r="C27" s="60" t="n">
        <x:f>C22+C25</x:f>
        <x:v>33</x:v>
      </x:c>
      <x:c r="D27" s="60" t="n">
        <x:f>D22+D25</x:f>
        <x:v>43</x:v>
      </x:c>
      <x:c r="E27" s="60" t="n">
        <x:f>E22+E25</x:f>
        <x:v>55</x:v>
      </x:c>
      <x:c r="F27" s="60" t="n">
        <x:f>F22+F25</x:f>
        <x:v>73</x:v>
      </x:c>
      <x:c r="G27" s="60" t="n">
        <x:f>G22+G25</x:f>
        <x:v>102</x:v>
      </x:c>
      <x:c r="H27" s="49" t="n">
        <x:f>H22+H25</x:f>
        <x:v>151.07000000000005</x:v>
      </x:c>
      <x:c r="I27" s="49" t="n">
        <x:f>I22+I25</x:f>
        <x:v>202.42315000000008</x:v>
      </x:c>
      <x:c r="J27" s="49" t="n">
        <x:f>J22+J25</x:f>
        <x:v>256.0271917500001</x:v>
      </x:c>
      <x:c r="K27" s="49" t="n">
        <x:f>K22+K25</x:f>
        <x:v>316.84841537875013</x:v>
      </x:c>
      <x:c r="L27" s="49" t="n">
        <x:f>L22+L25</x:f>
        <x:v>380.8515940707939</x:v>
      </x:c>
      <x:c r="M27" s="49" t="n">
        <x:f>M22+M25</x:f>
        <x:v>450.99991580397966</x:v>
      </x:c>
      <x:c r="N27" s="2"/>
      <x:c r="O27" s="2"/>
      <x:c r="P27" s="2"/>
      <x:c r="Q27" s="2"/>
      <x:c r="R27" s="2"/>
      <x:c r="S27" s="2"/>
      <x:c r="T27" s="2"/>
      <x:c r="U27" s="2"/>
    </x:row>
    <x:row r="28">
      <x:c r="A28" s="29" t="str">
        <x:v>   Tax rate</x:v>
      </x:c>
      <x:c r="B28" s="59" t="n">
        <x:v>0.27</x:v>
      </x:c>
      <x:c r="C28" s="59" t="n">
        <x:v>0.27</x:v>
      </x:c>
      <x:c r="D28" s="59" t="n">
        <x:v>0.265</x:v>
      </x:c>
      <x:c r="E28" s="59" t="n">
        <x:v>0.26</x:v>
      </x:c>
      <x:c r="F28" s="59" t="n">
        <x:v>0.255</x:v>
      </x:c>
      <x:c r="G28" s="59" t="n">
        <x:v>0.25</x:v>
      </x:c>
      <x:c r="H28" s="48" t="n">
        <x:v>0.245</x:v>
      </x:c>
      <x:c r="I28" s="48" t="n">
        <x:v>0.245</x:v>
      </x:c>
      <x:c r="J28" s="48" t="n">
        <x:v>0.24</x:v>
      </x:c>
      <x:c r="K28" s="48" t="n">
        <x:v>0.24</x:v>
      </x:c>
      <x:c r="L28" s="48" t="n">
        <x:v>0.235</x:v>
      </x:c>
      <x:c r="M28" s="48" t="n">
        <x:v>0.235</x:v>
      </x:c>
      <x:c r="N28" s="2"/>
      <x:c r="O28" s="2"/>
      <x:c r="P28" s="2"/>
      <x:c r="Q28" s="2"/>
      <x:c r="R28" s="2"/>
      <x:c r="S28" s="2"/>
      <x:c r="T28" s="2"/>
      <x:c r="U28" s="2"/>
    </x:row>
    <x:row r="29">
      <x:c r="A29" s="2" t="str">
        <x:v>- Tax</x:v>
      </x:c>
      <x:c r="B29" s="58" t="n">
        <x:f>-B27*B28</x:f>
        <x:v>-4.32</x:v>
      </x:c>
      <x:c r="C29" s="58" t="n">
        <x:f>-C27*C28</x:f>
        <x:v>-8.91</x:v>
      </x:c>
      <x:c r="D29" s="58" t="n">
        <x:f>-D27*D28</x:f>
        <x:v>-11.395000000000001</x:v>
      </x:c>
      <x:c r="E29" s="58" t="n">
        <x:f>-E27*E28</x:f>
        <x:v>-14.3</x:v>
      </x:c>
      <x:c r="F29" s="58" t="n">
        <x:f>-F27*F28</x:f>
        <x:v>-18.615000000000002</x:v>
      </x:c>
      <x:c r="G29" s="58" t="n">
        <x:f>-G27*G28</x:f>
        <x:v>-25.5</x:v>
      </x:c>
      <x:c r="H29" s="47" t="n">
        <x:f>-H27*H28</x:f>
        <x:v>-37.01215000000001</x:v>
      </x:c>
      <x:c r="I29" s="47" t="n">
        <x:f>-I27*I28</x:f>
        <x:v>-49.59367175000002</x:v>
      </x:c>
      <x:c r="J29" s="47" t="n">
        <x:f>-J27*J28</x:f>
        <x:v>-61.44652602000002</x:v>
      </x:c>
      <x:c r="K29" s="47" t="n">
        <x:f>-K27*K28</x:f>
        <x:v>-76.04361969090003</x:v>
      </x:c>
      <x:c r="L29" s="47" t="n">
        <x:f>-L27*L28</x:f>
        <x:v>-89.50012460663656</x:v>
      </x:c>
      <x:c r="M29" s="47" t="n">
        <x:f>-M27*M28</x:f>
        <x:v>-105.98498021393522</x:v>
      </x:c>
      <x:c r="N29" s="2"/>
      <x:c r="O29" s="2"/>
      <x:c r="P29" s="2"/>
      <x:c r="Q29" s="2"/>
      <x:c r="R29" s="2"/>
      <x:c r="S29" s="2"/>
      <x:c r="T29" s="2"/>
      <x:c r="U29" s="2"/>
    </x:row>
    <x:row r="30">
      <x:c r="A30" s="2"/>
      <x:c r="B30" s="58"/>
      <x:c r="C30" s="58"/>
      <x:c r="D30" s="58"/>
      <x:c r="E30" s="58"/>
      <x:c r="F30" s="58"/>
      <x:c r="G30" s="58"/>
      <x:c r="H30" s="47"/>
      <x:c r="I30" s="47"/>
      <x:c r="J30" s="47"/>
      <x:c r="K30" s="47"/>
      <x:c r="L30" s="47"/>
      <x:c r="M30" s="47"/>
      <x:c r="N30" s="2"/>
      <x:c r="O30" s="2"/>
      <x:c r="P30" s="2"/>
      <x:c r="Q30" s="2"/>
      <x:c r="R30" s="2"/>
      <x:c r="S30" s="2"/>
      <x:c r="T30" s="2"/>
      <x:c r="U30" s="2"/>
    </x:row>
    <x:row r="31">
      <x:c r="A31" s="28" t="str">
        <x:v>Net income</x:v>
      </x:c>
      <x:c r="B31" s="60" t="n">
        <x:f>B27+B29</x:f>
        <x:v>11.68</x:v>
      </x:c>
      <x:c r="C31" s="60" t="n">
        <x:f>C27+C29</x:f>
        <x:v>24.09</x:v>
      </x:c>
      <x:c r="D31" s="60" t="n">
        <x:f>D27+D29</x:f>
        <x:v>31.604999999999997</x:v>
      </x:c>
      <x:c r="E31" s="60" t="n">
        <x:f>E27+E29</x:f>
        <x:v>40.7</x:v>
      </x:c>
      <x:c r="F31" s="60" t="n">
        <x:f>F27+F29</x:f>
        <x:v>54.385</x:v>
      </x:c>
      <x:c r="G31" s="60" t="n">
        <x:f>G27+G29</x:f>
        <x:v>76.5</x:v>
      </x:c>
      <x:c r="H31" s="49" t="n">
        <x:f>H27+H29</x:f>
        <x:v>114.05785000000003</x:v>
      </x:c>
      <x:c r="I31" s="49" t="n">
        <x:f>I27+I29</x:f>
        <x:v>152.82947825000005</x:v>
      </x:c>
      <x:c r="J31" s="49" t="n">
        <x:f>J27+J29</x:f>
        <x:v>194.58066573000008</x:v>
      </x:c>
      <x:c r="K31" s="49" t="n">
        <x:f>K27+K29</x:f>
        <x:v>240.80479568785012</x:v>
      </x:c>
      <x:c r="L31" s="49" t="n">
        <x:f>L27+L29</x:f>
        <x:v>291.35146946415733</x:v>
      </x:c>
      <x:c r="M31" s="49" t="n">
        <x:f>M27+M29</x:f>
        <x:v>345.01493559004444</x:v>
      </x:c>
      <x:c r="N31" s="2"/>
      <x:c r="O31" s="2"/>
      <x:c r="P31" s="2"/>
      <x:c r="Q31" s="2"/>
      <x:c r="R31" s="2"/>
      <x:c r="S31" s="2"/>
      <x:c r="T31" s="2"/>
      <x:c r="U31" s="2"/>
    </x:row>
    <x:row r="32">
      <x:c r="A32" s="29" t="str">
        <x:v>   % growth</x:v>
      </x:c>
      <x:c r="B32" s="59"/>
      <x:c r="C32" s="59" t="n">
        <x:f>C31/B31-1</x:f>
        <x:v>1.0625</x:v>
      </x:c>
      <x:c r="D32" s="59" t="n">
        <x:f>D31/C31-1</x:f>
        <x:v>0.3119551681195516</x:v>
      </x:c>
      <x:c r="E32" s="59" t="n">
        <x:f>E31/D31-1</x:f>
        <x:v>0.28777092232241763</x:v>
      </x:c>
      <x:c r="F32" s="59" t="n">
        <x:f>F31/E31-1</x:f>
        <x:v>0.3362407862407861</x:v>
      </x:c>
      <x:c r="G32" s="59" t="n">
        <x:f>G31/F31-1</x:f>
        <x:v>0.4066378597039626</x:v>
      </x:c>
      <x:c r="H32" s="48" t="n">
        <x:f>H31/G31-1</x:f>
        <x:v>0.49095228758169984</x:v>
      </x:c>
      <x:c r="I32" s="48" t="n">
        <x:f>I31/H31-1</x:f>
        <x:v>0.33992950287946</x:v>
      </x:c>
      <x:c r="J32" s="48" t="n">
        <x:f>J31/I31-1</x:f>
        <x:v>0.27318805218783115</x:v>
      </x:c>
      <x:c r="K32" s="48" t="n">
        <x:f>K31/J31-1</x:f>
        <x:v>0.23755767195282695</x:v>
      </x:c>
      <x:c r="L32" s="48" t="n">
        <x:f>L31/K31-1</x:f>
        <x:v>0.20990725550927047</x:v>
      </x:c>
      <x:c r="M32" s="48" t="n">
        <x:f>M31/L31-1</x:f>
        <x:v>0.18418807437142126</x:v>
      </x:c>
      <x:c r="N32" s="2"/>
      <x:c r="O32" s="2"/>
      <x:c r="P32" s="2"/>
      <x:c r="Q32" s="2"/>
      <x:c r="R32" s="2"/>
      <x:c r="S32" s="2"/>
      <x:c r="T32" s="2"/>
      <x:c r="U32" s="2"/>
    </x:row>
    <x:row r="33">
      <x:c r="A33" s="2"/>
      <x:c r="B33" s="58"/>
      <x:c r="C33" s="58"/>
      <x:c r="D33" s="58"/>
      <x:c r="E33" s="58"/>
      <x:c r="F33" s="58"/>
      <x:c r="G33" s="58"/>
      <x:c r="H33" s="47"/>
      <x:c r="I33" s="47"/>
      <x:c r="J33" s="47"/>
      <x:c r="K33" s="47"/>
      <x:c r="L33" s="47"/>
      <x:c r="M33" s="47"/>
      <x:c r="N33" s="2"/>
      <x:c r="O33" s="2"/>
      <x:c r="P33" s="2"/>
      <x:c r="Q33" s="2"/>
      <x:c r="R33" s="2"/>
      <x:c r="S33" s="2"/>
      <x:c r="T33" s="2"/>
      <x:c r="U33" s="2"/>
    </x:row>
    <x:row r="34">
      <x:c r="A34" s="2"/>
      <x:c r="B34" s="58"/>
      <x:c r="C34" s="58"/>
      <x:c r="D34" s="58"/>
      <x:c r="E34" s="58"/>
      <x:c r="F34" s="58"/>
      <x:c r="G34" s="58"/>
      <x:c r="H34" s="47"/>
      <x:c r="I34" s="47"/>
      <x:c r="J34" s="47"/>
      <x:c r="K34" s="47"/>
      <x:c r="L34" s="47"/>
      <x:c r="M34" s="47"/>
      <x:c r="N34" s="2"/>
      <x:c r="O34" s="2"/>
      <x:c r="P34" s="2"/>
      <x:c r="Q34" s="2"/>
      <x:c r="R34" s="2"/>
      <x:c r="S34" s="2"/>
      <x:c r="T34" s="2"/>
      <x:c r="U34" s="2"/>
    </x:row>
    <x:row r="35">
      <x:c r="A35" s="65" t="str">
        <x:v>PER SHARE DATA</x:v>
      </x:c>
      <x:c r="B35" s="68"/>
      <x:c r="C35" s="68"/>
      <x:c r="D35" s="68"/>
      <x:c r="E35" s="68"/>
      <x:c r="F35" s="68"/>
      <x:c r="G35" s="68"/>
      <x:c r="H35" s="68"/>
      <x:c r="I35" s="68"/>
      <x:c r="J35" s="68"/>
      <x:c r="K35" s="68"/>
      <x:c r="L35" s="68"/>
      <x:c r="M35" s="69"/>
      <x:c r="N35" s="2"/>
      <x:c r="O35" s="2"/>
      <x:c r="P35" s="2"/>
      <x:c r="Q35" s="2"/>
      <x:c r="R35" s="2"/>
      <x:c r="S35" s="2"/>
      <x:c r="T35" s="2"/>
      <x:c r="U35" s="2"/>
    </x:row>
    <x:row r="36">
      <x:c r="A36" s="2" t="str">
        <x:v>Number of shares (m)</x:v>
      </x:c>
      <x:c r="B36" s="62" t="n">
        <x:v>122</x:v>
      </x:c>
      <x:c r="C36" s="62" t="n">
        <x:v>121</x:v>
      </x:c>
      <x:c r="D36" s="62" t="n">
        <x:v>120</x:v>
      </x:c>
      <x:c r="E36" s="62" t="n">
        <x:v>119</x:v>
      </x:c>
      <x:c r="F36" s="62" t="n">
        <x:v>118</x:v>
      </x:c>
      <x:c r="G36" s="62" t="n">
        <x:v>116</x:v>
      </x:c>
      <x:c r="H36" s="52" t="n">
        <x:f>G36-1</x:f>
        <x:v>115</x:v>
      </x:c>
      <x:c r="I36" s="52" t="n">
        <x:f>H36-1</x:f>
        <x:v>114</x:v>
      </x:c>
      <x:c r="J36" s="52" t="n">
        <x:f>I36-1</x:f>
        <x:v>113</x:v>
      </x:c>
      <x:c r="K36" s="52" t="n">
        <x:f>J36-1</x:f>
        <x:v>112</x:v>
      </x:c>
      <x:c r="L36" s="52" t="n">
        <x:f>K36-1</x:f>
        <x:v>111</x:v>
      </x:c>
      <x:c r="M36" s="52" t="n">
        <x:f>L36-1</x:f>
        <x:v>110</x:v>
      </x:c>
      <x:c r="N36" s="2"/>
      <x:c r="O36" s="2"/>
      <x:c r="P36" s="2"/>
      <x:c r="Q36" s="2"/>
      <x:c r="R36" s="2"/>
      <x:c r="S36" s="2"/>
      <x:c r="T36" s="2"/>
      <x:c r="U36" s="2"/>
    </x:row>
    <x:row r="37">
      <x:c r="A37" s="2" t="str">
        <x:v>EPS</x:v>
      </x:c>
      <x:c r="B37" s="63" t="n">
        <x:f>B31/B36</x:f>
        <x:v>0.09573770491803278</x:v>
      </x:c>
      <x:c r="C37" s="63" t="n">
        <x:f>C31/C36</x:f>
        <x:v>0.1990909090909091</x:v>
      </x:c>
      <x:c r="D37" s="63" t="n">
        <x:f>D31/D36</x:f>
        <x:v>0.26337499999999997</x:v>
      </x:c>
      <x:c r="E37" s="63" t="n">
        <x:f>E31/E36</x:f>
        <x:v>0.3420168067226891</x:v>
      </x:c>
      <x:c r="F37" s="63" t="n">
        <x:f>F31/F36</x:f>
        <x:v>0.46088983050847454</x:v>
      </x:c>
      <x:c r="G37" s="63" t="n">
        <x:f>G31/G36</x:f>
        <x:v>0.6594827586206896</x:v>
      </x:c>
      <x:c r="H37" s="53" t="n">
        <x:f>H31/H36</x:f>
        <x:v>0.9918073913043481</x:v>
      </x:c>
      <x:c r="I37" s="53" t="n">
        <x:f>I31/I36</x:f>
        <x:v>1.3406094583333337</x:v>
      </x:c>
      <x:c r="J37" s="53" t="n">
        <x:f>J31/J36</x:f>
        <x:v>1.721952794070797</x:v>
      </x:c>
      <x:c r="K37" s="53" t="n">
        <x:f>K31/K36</x:f>
        <x:v>2.150042818641519</x:v>
      </x:c>
      <x:c r="L37" s="53" t="n">
        <x:f>L31/L36</x:f>
        <x:v>2.6247880131906065</x:v>
      </x:c>
      <x:c r="M37" s="53" t="n">
        <x:f>M31/M36</x:f>
        <x:v>3.1364994144549496</x:v>
      </x:c>
      <x:c r="N37" s="2"/>
      <x:c r="O37" s="2"/>
      <x:c r="P37" s="2"/>
      <x:c r="Q37" s="2"/>
      <x:c r="R37" s="2"/>
      <x:c r="S37" s="2"/>
      <x:c r="T37" s="2"/>
      <x:c r="U37" s="2"/>
    </x:row>
    <x:row r="38">
      <x:c r="A38" s="2" t="str">
        <x:v>DPS</x:v>
      </x:c>
      <x:c r="B38" s="63" t="n">
        <x:v>0.22</x:v>
      </x:c>
      <x:c r="C38" s="63" t="n">
        <x:v>0.24</x:v>
      </x:c>
      <x:c r="D38" s="63" t="n">
        <x:v>0.27</x:v>
      </x:c>
      <x:c r="E38" s="63" t="n">
        <x:v>0.31</x:v>
      </x:c>
      <x:c r="F38" s="63" t="n">
        <x:v>0.36</x:v>
      </x:c>
      <x:c r="G38" s="63" t="n">
        <x:v>0.42</x:v>
      </x:c>
      <x:c r="H38" s="53" t="n">
        <x:v>0.48</x:v>
      </x:c>
      <x:c r="I38" s="53" t="n">
        <x:v>0.55</x:v>
      </x:c>
      <x:c r="J38" s="53" t="n">
        <x:v>0.62</x:v>
      </x:c>
      <x:c r="K38" s="53" t="n">
        <x:v>0.69</x:v>
      </x:c>
      <x:c r="L38" s="53" t="n">
        <x:v>0.76</x:v>
      </x:c>
      <x:c r="M38" s="53" t="n">
        <x:v>0.83</x:v>
      </x:c>
      <x:c r="N38" s="2"/>
      <x:c r="O38" s="2"/>
      <x:c r="P38" s="2"/>
      <x:c r="Q38" s="2"/>
      <x:c r="R38" s="2"/>
      <x:c r="S38" s="2"/>
      <x:c r="T38" s="2"/>
      <x:c r="U38" s="2"/>
    </x:row>
    <x:row r="39">
      <x:c r="A39" s="29" t="str">
        <x:v>Payout (%)</x:v>
      </x:c>
      <x:c r="B39" s="59" t="n">
        <x:f>B38/B37</x:f>
        <x:v>2.297945205479452</x:v>
      </x:c>
      <x:c r="C39" s="59" t="n">
        <x:f>C38/C37</x:f>
        <x:v>1.2054794520547945</x:v>
      </x:c>
      <x:c r="D39" s="59" t="n">
        <x:f>D38/D37</x:f>
        <x:v>1.0251542477456101</x:v>
      </x:c>
      <x:c r="E39" s="59" t="n">
        <x:f>E38/E37</x:f>
        <x:v>0.9063882063882064</x:v>
      </x:c>
      <x:c r="F39" s="59" t="n">
        <x:f>F38/F37</x:f>
        <x:v>0.7810977291532593</x:v>
      </x:c>
      <x:c r="G39" s="59" t="n">
        <x:f>G38/G37</x:f>
        <x:v>0.6368627450980392</x:v>
      </x:c>
      <x:c r="H39" s="48" t="n">
        <x:f>H38/H37</x:f>
        <x:v>0.4839649353376377</x:v>
      </x:c>
      <x:c r="I39" s="48" t="n">
        <x:f>I38/I37</x:f>
        <x:v>0.410261166353226</x:v>
      </x:c>
      <x:c r="J39" s="48" t="n">
        <x:f>J38/J37</x:f>
        <x:v>0.3600563279869501</x:v>
      </x:c>
      <x:c r="K39" s="48" t="n">
        <x:f>K38/K37</x:f>
        <x:v>0.32092384115213524</x:v>
      </x:c>
      <x:c r="L39" s="48" t="n">
        <x:f>L38/L37</x:f>
        <x:v>0.28954719245161775</x:v>
      </x:c>
      <x:c r="M39" s="48" t="n">
        <x:f>M38/M37</x:f>
        <x:v>0.26462622507590505</x:v>
      </x:c>
      <x:c r="N39" s="2"/>
      <x:c r="O39" s="2"/>
      <x:c r="P39" s="2"/>
      <x:c r="Q39" s="2"/>
      <x:c r="R39" s="2"/>
      <x:c r="S39" s="2"/>
      <x:c r="T39" s="2"/>
      <x:c r="U39" s="2"/>
    </x:row>
    <x:row r="40">
      <x:c r="A40" s="2"/>
      <x:c r="B40" s="58"/>
      <x:c r="C40" s="58"/>
      <x:c r="D40" s="58"/>
      <x:c r="E40" s="58"/>
      <x:c r="F40" s="58"/>
      <x:c r="G40" s="58"/>
      <x:c r="H40" s="47"/>
      <x:c r="I40" s="47"/>
      <x:c r="J40" s="47"/>
      <x:c r="K40" s="47"/>
      <x:c r="L40" s="47"/>
      <x:c r="M40" s="47"/>
      <x:c r="N40" s="2"/>
      <x:c r="O40" s="2"/>
      <x:c r="P40" s="2"/>
      <x:c r="Q40" s="2"/>
      <x:c r="R40" s="2"/>
      <x:c r="S40" s="2"/>
      <x:c r="T40" s="2"/>
      <x:c r="U40" s="2"/>
    </x:row>
    <x:row r="41">
      <x:c r="A41" s="2"/>
      <x:c r="B41" s="58"/>
      <x:c r="C41" s="58"/>
      <x:c r="D41" s="58"/>
      <x:c r="E41" s="58"/>
      <x:c r="F41" s="58"/>
      <x:c r="G41" s="58"/>
      <x:c r="H41" s="47"/>
      <x:c r="I41" s="47"/>
      <x:c r="J41" s="47"/>
      <x:c r="K41" s="47"/>
      <x:c r="L41" s="47"/>
      <x:c r="M41" s="47"/>
      <x:c r="N41" s="2"/>
      <x:c r="O41" s="2"/>
      <x:c r="P41" s="2"/>
      <x:c r="Q41" s="2"/>
      <x:c r="R41" s="2"/>
      <x:c r="S41" s="2"/>
      <x:c r="T41" s="2"/>
      <x:c r="U41" s="2"/>
    </x:row>
    <x:row r="42">
      <x:c r="A42" s="65" t="str">
        <x:v>VALUATION</x:v>
      </x:c>
      <x:c r="B42" s="68"/>
      <x:c r="C42" s="68"/>
      <x:c r="D42" s="68"/>
      <x:c r="E42" s="68"/>
      <x:c r="F42" s="68"/>
      <x:c r="G42" s="68"/>
      <x:c r="H42" s="68"/>
      <x:c r="I42" s="68"/>
      <x:c r="J42" s="68"/>
      <x:c r="K42" s="68"/>
      <x:c r="L42" s="68"/>
      <x:c r="M42" s="69"/>
      <x:c r="N42" s="2"/>
      <x:c r="O42" s="2"/>
      <x:c r="P42" s="2"/>
      <x:c r="Q42" s="2"/>
      <x:c r="R42" s="2"/>
      <x:c r="S42" s="2"/>
      <x:c r="T42" s="2"/>
      <x:c r="U42" s="2"/>
    </x:row>
    <x:row r="43">
      <x:c r="A43" s="2" t="str">
        <x:v>Share price</x:v>
      </x:c>
      <x:c r="B43" s="63" t="n">
        <x:v>8.6</x:v>
      </x:c>
      <x:c r="C43" s="63" t="n">
        <x:v>9.2</x:v>
      </x:c>
      <x:c r="D43" s="63" t="n">
        <x:v>10.1</x:v>
      </x:c>
      <x:c r="E43" s="63" t="n">
        <x:v>11.4</x:v>
      </x:c>
      <x:c r="F43" s="63" t="n">
        <x:v>13.8</x:v>
      </x:c>
      <x:c r="G43" s="63" t="n">
        <x:v>16.2</x:v>
      </x:c>
      <x:c r="H43" s="53" t="n">
        <x:v>18.3</x:v>
      </x:c>
      <x:c r="I43" s="53" t="n">
        <x:v>20.4</x:v>
      </x:c>
      <x:c r="J43" s="53" t="n">
        <x:v>22.8</x:v>
      </x:c>
      <x:c r="K43" s="53" t="n">
        <x:v>25.1</x:v>
      </x:c>
      <x:c r="L43" s="53" t="n">
        <x:v>27.6</x:v>
      </x:c>
      <x:c r="M43" s="53" t="n">
        <x:v>30</x:v>
      </x:c>
      <x:c r="N43" s="2"/>
      <x:c r="O43" s="2"/>
      <x:c r="P43" s="2"/>
      <x:c r="Q43" s="2"/>
      <x:c r="R43" s="2"/>
      <x:c r="S43" s="2"/>
      <x:c r="T43" s="2"/>
      <x:c r="U43" s="2"/>
    </x:row>
    <x:row r="44">
      <x:c r="A44" s="2" t="str">
        <x:v>P/E (x)</x:v>
      </x:c>
      <x:c r="B44" s="64" t="n">
        <x:f>B43/B37</x:f>
        <x:v>89.82876712328768</x:v>
      </x:c>
      <x:c r="C44" s="64" t="n">
        <x:f>C43/C37</x:f>
        <x:v>46.21004566210045</x:v>
      </x:c>
      <x:c r="D44" s="64" t="n">
        <x:f>D43/D37</x:f>
        <x:v>38.3483626008543</x:v>
      </x:c>
      <x:c r="E44" s="64" t="n">
        <x:f>E43/E37</x:f>
        <x:v>33.33169533169533</x:v>
      </x:c>
      <x:c r="F44" s="64" t="n">
        <x:f>F43/F37</x:f>
        <x:v>29.942079617541605</x:v>
      </x:c>
      <x:c r="G44" s="64" t="n">
        <x:f>G43/G37</x:f>
        <x:v>24.564705882352943</x:v>
      </x:c>
      <x:c r="H44" s="54" t="n">
        <x:f>H43/H37</x:f>
        <x:v>18.451163159747438</x:v>
      </x:c>
      <x:c r="I44" s="54" t="n">
        <x:f>I43/I37</x:f>
        <x:v>15.216959624737836</x:v>
      </x:c>
      <x:c r="J44" s="54" t="n">
        <x:f>J43/J37</x:f>
        <x:v>13.240781093713649</x:v>
      </x:c>
      <x:c r="K44" s="54" t="n">
        <x:f>K43/K37</x:f>
        <x:v>11.674186105679123</x:v>
      </x:c>
      <x:c r="L44" s="54" t="n">
        <x:f>L43/L37</x:f>
        <x:v>10.515134883769278</x:v>
      </x:c>
      <x:c r="M44" s="54" t="n">
        <x:f>M43/M37</x:f>
        <x:v>9.564803315996569</x:v>
      </x:c>
      <x:c r="N44" s="2"/>
      <x:c r="O44" s="2"/>
      <x:c r="P44" s="2"/>
      <x:c r="Q44" s="2"/>
      <x:c r="R44" s="2"/>
      <x:c r="S44" s="2"/>
      <x:c r="T44" s="2"/>
      <x:c r="U44" s="2"/>
    </x:row>
    <x:row r="45">
      <x:c r="A45" s="2"/>
      <x:c r="B45" s="58"/>
      <x:c r="C45" s="58"/>
      <x:c r="D45" s="58"/>
      <x:c r="E45" s="58"/>
      <x:c r="F45" s="58"/>
      <x:c r="G45" s="58"/>
      <x:c r="H45" s="47"/>
      <x:c r="I45" s="47"/>
      <x:c r="J45" s="47"/>
      <x:c r="K45" s="47"/>
      <x:c r="L45" s="47"/>
      <x:c r="M45" s="47"/>
      <x:c r="N45" s="2"/>
      <x:c r="O45" s="2"/>
      <x:c r="P45" s="2"/>
      <x:c r="Q45" s="2"/>
      <x:c r="R45" s="2"/>
      <x:c r="S45" s="2"/>
      <x:c r="T45" s="2"/>
      <x:c r="U45" s="2"/>
    </x:row>
    <x:row r="46">
      <x:c r="A46" s="28" t="str">
        <x:v>Market capitalization</x:v>
      </x:c>
      <x:c r="B46" s="60" t="n">
        <x:f>B43*B36</x:f>
        <x:v>1049.2</x:v>
      </x:c>
      <x:c r="C46" s="60" t="n">
        <x:f>C43*C36</x:f>
        <x:v>1113.1999999999998</x:v>
      </x:c>
      <x:c r="D46" s="60" t="n">
        <x:f>D43*D36</x:f>
        <x:v>1212</x:v>
      </x:c>
      <x:c r="E46" s="60" t="n">
        <x:f>E43*E36</x:f>
        <x:v>1356.6000000000001</x:v>
      </x:c>
      <x:c r="F46" s="60" t="n">
        <x:f>F43*F36</x:f>
        <x:v>1628.4</x:v>
      </x:c>
      <x:c r="G46" s="60" t="n">
        <x:f>G43*G36</x:f>
        <x:v>1879.1999999999998</x:v>
      </x:c>
      <x:c r="H46" s="49" t="n">
        <x:f>H43*H36</x:f>
        <x:v>2104.5</x:v>
      </x:c>
      <x:c r="I46" s="49" t="n">
        <x:f>I43*I36</x:f>
        <x:v>2325.6</x:v>
      </x:c>
      <x:c r="J46" s="49" t="n">
        <x:f>J43*J36</x:f>
        <x:v>2576.4</x:v>
      </x:c>
      <x:c r="K46" s="49" t="n">
        <x:f>K43*K36</x:f>
        <x:v>2811.2000000000003</x:v>
      </x:c>
      <x:c r="L46" s="49" t="n">
        <x:f>L43*L36</x:f>
        <x:v>3063.6000000000004</x:v>
      </x:c>
      <x:c r="M46" s="49" t="n">
        <x:f>M43*M36</x:f>
        <x:v>3300</x:v>
      </x:c>
      <x:c r="N46" s="2"/>
      <x:c r="O46" s="2"/>
      <x:c r="P46" s="2"/>
      <x:c r="Q46" s="2"/>
      <x:c r="R46" s="2"/>
      <x:c r="S46" s="2"/>
      <x:c r="T46" s="2"/>
      <x:c r="U46" s="2"/>
    </x:row>
    <x:row r="47">
      <x:c r="A47" s="28" t="str">
        <x:v>Enterprise value</x:v>
      </x:c>
      <x:c r="B47" s="60" t="n">
        <x:f>B46+B55</x:f>
        <x:v>1344.2</x:v>
      </x:c>
      <x:c r="C47" s="60" t="n">
        <x:f>C46+C55</x:f>
        <x:v>1376.1999999999998</x:v>
      </x:c>
      <x:c r="D47" s="60" t="n">
        <x:f>D46+D55</x:f>
        <x:v>1444</x:v>
      </x:c>
      <x:c r="E47" s="60" t="n">
        <x:f>E46+E55</x:f>
        <x:v>1552.6000000000001</x:v>
      </x:c>
      <x:c r="F47" s="60" t="n">
        <x:f>F46+F55</x:f>
        <x:v>1773.4</x:v>
      </x:c>
      <x:c r="G47" s="60" t="n">
        <x:f>G46+G55</x:f>
        <x:v>1966.1999999999998</x:v>
      </x:c>
      <x:c r="H47" s="49" t="n">
        <x:f>H46+H55</x:f>
        <x:v>2126.5</x:v>
      </x:c>
      <x:c r="I47" s="49" t="n">
        <x:f>I46+I55</x:f>
        <x:v>2278.6</x:v>
      </x:c>
      <x:c r="J47" s="49" t="n">
        <x:f>J46+J55</x:f>
        <x:v>2453.4</x:v>
      </x:c>
      <x:c r="K47" s="49" t="n">
        <x:f>K46+K55</x:f>
        <x:v>2605.2000000000003</x:v>
      </x:c>
      <x:c r="L47" s="49" t="n">
        <x:f>L46+L55</x:f>
        <x:v>2767.6000000000004</x:v>
      </x:c>
      <x:c r="M47" s="49" t="n">
        <x:f>M46+M55</x:f>
        <x:v>2907</x:v>
      </x:c>
      <x:c r="N47" s="2"/>
      <x:c r="O47" s="2"/>
      <x:c r="P47" s="2"/>
      <x:c r="Q47" s="2"/>
      <x:c r="R47" s="2"/>
      <x:c r="S47" s="2"/>
      <x:c r="T47" s="2"/>
      <x:c r="U47" s="2"/>
    </x:row>
    <x:row r="48">
      <x:c r="A48" s="2" t="str">
        <x:v>EV / EBITDA (x)</x:v>
      </x:c>
      <x:c r="B48" s="64" t="n">
        <x:f>B47/B18</x:f>
        <x:v>19.202857142857145</x:v>
      </x:c>
      <x:c r="C48" s="64" t="n">
        <x:f>C47/C18</x:f>
        <x:v>15.291111111111109</x:v>
      </x:c>
      <x:c r="D48" s="64" t="n">
        <x:f>D47/D18</x:f>
        <x:v>13.884615384615385</x:v>
      </x:c>
      <x:c r="E48" s="64" t="n">
        <x:f>E47/E18</x:f>
        <x:v>12.938333333333334</x:v>
      </x:c>
      <x:c r="F48" s="64" t="n">
        <x:f>F47/F18</x:f>
        <x:v>12.401398601398602</x:v>
      </x:c>
      <x:c r="G48" s="64" t="n">
        <x:f>G47/G18</x:f>
        <x:v>11.046067415730336</x:v>
      </x:c>
      <x:c r="H48" s="54" t="n">
        <x:f>H47/H18</x:f>
        <x:v>9.163183522213123</x:v>
      </x:c>
      <x:c r="I48" s="54" t="n">
        <x:f>I47/I18</x:f>
        <x:v>7.900198025019834</x:v>
      </x:c>
      <x:c r="J48" s="54" t="n">
        <x:f>J47/J18</x:f>
        <x:v>7.06976299934283</x:v>
      </x:c>
      <x:c r="K48" s="54" t="n">
        <x:f>K47/K18</x:f>
        <x:v>6.310306405342433</x:v>
      </x:c>
      <x:c r="L48" s="54" t="n">
        <x:f>L47/L18</x:f>
        <x:v>5.743677169600446</x:v>
      </x:c>
      <x:c r="M48" s="54" t="n">
        <x:f>M47/M18</x:f>
        <x:v>5.2190313095541585</x:v>
      </x:c>
      <x:c r="N48" s="2"/>
      <x:c r="O48" s="2"/>
      <x:c r="P48" s="2"/>
      <x:c r="Q48" s="2"/>
      <x:c r="R48" s="2"/>
      <x:c r="S48" s="2"/>
      <x:c r="T48" s="2"/>
      <x:c r="U48" s="2"/>
    </x:row>
    <x:row r="49">
      <x:c r="A49" s="2"/>
      <x:c r="B49" s="58"/>
      <x:c r="C49" s="58"/>
      <x:c r="D49" s="58"/>
      <x:c r="E49" s="58"/>
      <x:c r="F49" s="58"/>
      <x:c r="G49" s="58"/>
      <x:c r="H49" s="47"/>
      <x:c r="I49" s="47"/>
      <x:c r="J49" s="47"/>
      <x:c r="K49" s="47"/>
      <x:c r="L49" s="47"/>
      <x:c r="M49" s="47"/>
      <x:c r="N49" s="2"/>
      <x:c r="O49" s="2"/>
      <x:c r="P49" s="2"/>
      <x:c r="Q49" s="2"/>
      <x:c r="R49" s="2"/>
      <x:c r="S49" s="2"/>
      <x:c r="T49" s="2"/>
      <x:c r="U49" s="2"/>
    </x:row>
    <x:row r="50">
      <x:c r="A50" s="2"/>
      <x:c r="B50" s="58"/>
      <x:c r="C50" s="58"/>
      <x:c r="D50" s="58"/>
      <x:c r="E50" s="58"/>
      <x:c r="F50" s="58"/>
      <x:c r="G50" s="58"/>
      <x:c r="H50" s="47"/>
      <x:c r="I50" s="47"/>
      <x:c r="J50" s="47"/>
      <x:c r="K50" s="47"/>
      <x:c r="L50" s="47"/>
      <x:c r="M50" s="47"/>
      <x:c r="N50" s="2"/>
      <x:c r="O50" s="2"/>
      <x:c r="P50" s="2"/>
      <x:c r="Q50" s="2"/>
      <x:c r="R50" s="2"/>
      <x:c r="S50" s="2"/>
      <x:c r="T50" s="2"/>
      <x:c r="U50" s="2"/>
    </x:row>
    <x:row r="51">
      <x:c r="A51" s="2"/>
      <x:c r="B51" s="58"/>
      <x:c r="C51" s="58"/>
      <x:c r="D51" s="58"/>
      <x:c r="E51" s="58"/>
      <x:c r="F51" s="58"/>
      <x:c r="G51" s="58"/>
      <x:c r="H51" s="47"/>
      <x:c r="I51" s="47"/>
      <x:c r="J51" s="47"/>
      <x:c r="K51" s="47"/>
      <x:c r="L51" s="47"/>
      <x:c r="M51" s="47"/>
      <x:c r="N51" s="2"/>
      <x:c r="O51" s="2"/>
      <x:c r="P51" s="2"/>
      <x:c r="Q51" s="2"/>
      <x:c r="R51" s="2"/>
      <x:c r="S51" s="2"/>
      <x:c r="T51" s="2"/>
      <x:c r="U51" s="2"/>
    </x:row>
    <x:row r="52">
      <x:c r="A52" s="65" t="str">
        <x:v>BALANCE SHEET</x:v>
      </x:c>
      <x:c r="B52" s="68"/>
      <x:c r="C52" s="68"/>
      <x:c r="D52" s="68"/>
      <x:c r="E52" s="68"/>
      <x:c r="F52" s="68"/>
      <x:c r="G52" s="68"/>
      <x:c r="H52" s="68"/>
      <x:c r="I52" s="68"/>
      <x:c r="J52" s="68"/>
      <x:c r="K52" s="68"/>
      <x:c r="L52" s="68"/>
      <x:c r="M52" s="69"/>
      <x:c r="N52" s="2"/>
      <x:c r="O52" s="2"/>
      <x:c r="P52" s="2"/>
      <x:c r="Q52" s="2"/>
      <x:c r="R52" s="2"/>
      <x:c r="S52" s="2"/>
      <x:c r="T52" s="2"/>
      <x:c r="U52" s="2"/>
    </x:row>
    <x:row r="53">
      <x:c r="A53" s="2" t="str">
        <x:v>Cash</x:v>
      </x:c>
      <x:c r="B53" s="58" t="n">
        <x:v>95</x:v>
      </x:c>
      <x:c r="C53" s="58" t="n">
        <x:v>112</x:v>
      </x:c>
      <x:c r="D53" s="58" t="n">
        <x:v>128</x:v>
      </x:c>
      <x:c r="E53" s="58" t="n">
        <x:v>146</x:v>
      </x:c>
      <x:c r="F53" s="58" t="n">
        <x:v>175</x:v>
      </x:c>
      <x:c r="G53" s="58" t="n">
        <x:v>208</x:v>
      </x:c>
      <x:c r="H53" s="47" t="n">
        <x:v>248</x:v>
      </x:c>
      <x:c r="I53" s="47" t="n">
        <x:v>292</x:v>
      </x:c>
      <x:c r="J53" s="47" t="n">
        <x:v>343</x:v>
      </x:c>
      <x:c r="K53" s="47" t="n">
        <x:v>401</x:v>
      </x:c>
      <x:c r="L53" s="47" t="n">
        <x:v>466</x:v>
      </x:c>
      <x:c r="M53" s="47" t="n">
        <x:v>538</x:v>
      </x:c>
      <x:c r="N53" s="2"/>
      <x:c r="O53" s="2"/>
      <x:c r="P53" s="2"/>
      <x:c r="Q53" s="2"/>
      <x:c r="R53" s="2"/>
      <x:c r="S53" s="2"/>
      <x:c r="T53" s="2"/>
      <x:c r="U53" s="2"/>
    </x:row>
    <x:row r="54">
      <x:c r="A54" s="2" t="str">
        <x:v>Gross debt</x:v>
      </x:c>
      <x:c r="B54" s="58" t="n">
        <x:v>390</x:v>
      </x:c>
      <x:c r="C54" s="58" t="n">
        <x:v>375</x:v>
      </x:c>
      <x:c r="D54" s="58" t="n">
        <x:v>360</x:v>
      </x:c>
      <x:c r="E54" s="58" t="n">
        <x:v>342</x:v>
      </x:c>
      <x:c r="F54" s="58" t="n">
        <x:v>320</x:v>
      </x:c>
      <x:c r="G54" s="58" t="n">
        <x:v>295</x:v>
      </x:c>
      <x:c r="H54" s="47" t="n">
        <x:v>270</x:v>
      </x:c>
      <x:c r="I54" s="47" t="n">
        <x:v>245</x:v>
      </x:c>
      <x:c r="J54" s="47" t="n">
        <x:v>220</x:v>
      </x:c>
      <x:c r="K54" s="47" t="n">
        <x:v>195</x:v>
      </x:c>
      <x:c r="L54" s="47" t="n">
        <x:v>170</x:v>
      </x:c>
      <x:c r="M54" s="47" t="n">
        <x:v>145</x:v>
      </x:c>
      <x:c r="N54" s="2"/>
      <x:c r="O54" s="2"/>
      <x:c r="P54" s="2"/>
      <x:c r="Q54" s="2"/>
      <x:c r="R54" s="2"/>
      <x:c r="S54" s="2"/>
      <x:c r="T54" s="2"/>
      <x:c r="U54" s="2"/>
    </x:row>
    <x:row r="55">
      <x:c r="A55" s="28" t="str">
        <x:v>Net debt</x:v>
      </x:c>
      <x:c r="B55" s="60" t="n">
        <x:f>B54-B53</x:f>
        <x:v>295</x:v>
      </x:c>
      <x:c r="C55" s="60" t="n">
        <x:f>C54-C53</x:f>
        <x:v>263</x:v>
      </x:c>
      <x:c r="D55" s="60" t="n">
        <x:f>D54-D53</x:f>
        <x:v>232</x:v>
      </x:c>
      <x:c r="E55" s="60" t="n">
        <x:f>E54-E53</x:f>
        <x:v>196</x:v>
      </x:c>
      <x:c r="F55" s="60" t="n">
        <x:f>F54-F53</x:f>
        <x:v>145</x:v>
      </x:c>
      <x:c r="G55" s="60" t="n">
        <x:f>G54-G53</x:f>
        <x:v>87</x:v>
      </x:c>
      <x:c r="H55" s="49" t="n">
        <x:f>H54-H53</x:f>
        <x:v>22</x:v>
      </x:c>
      <x:c r="I55" s="49" t="n">
        <x:f>I54-I53</x:f>
        <x:v>-47</x:v>
      </x:c>
      <x:c r="J55" s="49" t="n">
        <x:f>J54-J53</x:f>
        <x:v>-123</x:v>
      </x:c>
      <x:c r="K55" s="49" t="n">
        <x:f>K54-K53</x:f>
        <x:v>-206</x:v>
      </x:c>
      <x:c r="L55" s="49" t="n">
        <x:f>L54-L53</x:f>
        <x:v>-296</x:v>
      </x:c>
      <x:c r="M55" s="49" t="n">
        <x:f>M54-M53</x:f>
        <x:v>-393</x:v>
      </x:c>
      <x:c r="N55" s="2"/>
      <x:c r="O55" s="2"/>
      <x:c r="P55" s="2"/>
      <x:c r="Q55" s="2"/>
      <x:c r="R55" s="2"/>
      <x:c r="S55" s="2"/>
      <x:c r="T55" s="2"/>
      <x:c r="U55" s="2"/>
    </x:row>
    <x:row r="56">
      <x:c r="A56" s="28" t="str">
        <x:v>Equity</x:v>
      </x:c>
      <x:c r="B56" s="60" t="n">
        <x:v>520</x:v>
      </x:c>
      <x:c r="C56" s="60" t="n">
        <x:v>565</x:v>
      </x:c>
      <x:c r="D56" s="60" t="n">
        <x:v>612</x:v>
      </x:c>
      <x:c r="E56" s="60" t="n">
        <x:v>670</x:v>
      </x:c>
      <x:c r="F56" s="60" t="n">
        <x:v>742</x:v>
      </x:c>
      <x:c r="G56" s="60" t="n">
        <x:v>830</x:v>
      </x:c>
      <x:c r="H56" s="49" t="n">
        <x:v>928</x:v>
      </x:c>
      <x:c r="I56" s="49" t="n">
        <x:v>1041</x:v>
      </x:c>
      <x:c r="J56" s="49" t="n">
        <x:v>1168</x:v>
      </x:c>
      <x:c r="K56" s="49" t="n">
        <x:v>1310</x:v>
      </x:c>
      <x:c r="L56" s="49" t="n">
        <x:v>1468</x:v>
      </x:c>
      <x:c r="M56" s="49" t="n">
        <x:v>1644</x:v>
      </x:c>
      <x:c r="N56" s="2"/>
      <x:c r="O56" s="2"/>
      <x:c r="P56" s="2"/>
      <x:c r="Q56" s="2"/>
      <x:c r="R56" s="2"/>
      <x:c r="S56" s="2"/>
      <x:c r="T56" s="2"/>
      <x:c r="U56" s="2"/>
    </x:row>
    <x:row r="57">
      <x:c r="A57" s="2" t="str">
        <x:v>Net debt / EBITDA (x)</x:v>
      </x:c>
      <x:c r="B57" s="64" t="n">
        <x:f>B55/B18</x:f>
        <x:v>4.214285714285714</x:v>
      </x:c>
      <x:c r="C57" s="64" t="n">
        <x:f>C55/C18</x:f>
        <x:v>2.922222222222222</x:v>
      </x:c>
      <x:c r="D57" s="64" t="n">
        <x:f>D55/D18</x:f>
        <x:v>2.230769230769231</x:v>
      </x:c>
      <x:c r="E57" s="64" t="n">
        <x:f>E55/E18</x:f>
        <x:v>1.6333333333333333</x:v>
      </x:c>
      <x:c r="F57" s="64" t="n">
        <x:f>F55/F18</x:f>
        <x:v>1.013986013986014</x:v>
      </x:c>
      <x:c r="G57" s="64" t="n">
        <x:f>G55/G18</x:f>
        <x:v>0.4887640449438202</x:v>
      </x:c>
      <x:c r="H57" s="54" t="n">
        <x:f>H55/H18</x:f>
        <x:v>0.09479898306545437</x:v>
      </x:c>
      <x:c r="I57" s="54" t="n">
        <x:f>I55/I18</x:f>
        <x:v>-0.16295501938731335</x:v>
      </x:c>
      <x:c r="J57" s="54" t="n">
        <x:f>J55/J18</x:f>
        <x:v>-0.3544390840952018</x:v>
      </x:c>
      <x:c r="K57" s="54" t="n">
        <x:f>K55/K18</x:f>
        <x:v>-0.49897248560591934</x:v>
      </x:c>
      <x:c r="L57" s="54" t="n">
        <x:f>L55/L18</x:f>
        <x:v>-0.6142970234866786</x:v>
      </x:c>
      <x:c r="M57" s="54" t="n">
        <x:f>M55/M18</x:f>
        <x:v>-0.7055656362761555</x:v>
      </x:c>
      <x:c r="N57" s="2"/>
      <x:c r="O57" s="2"/>
      <x:c r="P57" s="2"/>
      <x:c r="Q57" s="2"/>
      <x:c r="R57" s="2"/>
      <x:c r="S57" s="2"/>
      <x:c r="T57" s="2"/>
      <x:c r="U57" s="2"/>
    </x:row>
    <x:row r="58">
      <x:c r="A58" s="2"/>
      <x:c r="B58" s="58"/>
      <x:c r="C58" s="58"/>
      <x:c r="D58" s="58"/>
      <x:c r="E58" s="58"/>
      <x:c r="F58" s="58"/>
      <x:c r="G58" s="58"/>
      <x:c r="H58" s="47"/>
      <x:c r="I58" s="47"/>
      <x:c r="J58" s="47"/>
      <x:c r="K58" s="47"/>
      <x:c r="L58" s="47"/>
      <x:c r="M58" s="47"/>
      <x:c r="N58" s="2"/>
      <x:c r="O58" s="2"/>
      <x:c r="P58" s="2"/>
      <x:c r="Q58" s="2"/>
      <x:c r="R58" s="2"/>
      <x:c r="S58" s="2"/>
      <x:c r="T58" s="2"/>
      <x:c r="U58" s="2"/>
    </x:row>
    <x:row r="59">
      <x:c r="A59" s="2"/>
      <x:c r="B59" s="58"/>
      <x:c r="C59" s="58"/>
      <x:c r="D59" s="58"/>
      <x:c r="E59" s="58"/>
      <x:c r="F59" s="58"/>
      <x:c r="G59" s="58"/>
      <x:c r="H59" s="47"/>
      <x:c r="I59" s="47"/>
      <x:c r="J59" s="47"/>
      <x:c r="K59" s="47"/>
      <x:c r="L59" s="47"/>
      <x:c r="M59" s="47"/>
      <x:c r="N59" s="2"/>
      <x:c r="O59" s="2"/>
      <x:c r="P59" s="2"/>
      <x:c r="Q59" s="2"/>
      <x:c r="R59" s="2"/>
      <x:c r="S59" s="2"/>
      <x:c r="T59" s="2"/>
      <x:c r="U59" s="2"/>
    </x:row>
    <x:row r="60">
      <x:c r="A60" s="65" t="str">
        <x:v>CASH FLOW</x:v>
      </x:c>
      <x:c r="B60" s="68"/>
      <x:c r="C60" s="68"/>
      <x:c r="D60" s="68"/>
      <x:c r="E60" s="68"/>
      <x:c r="F60" s="68"/>
      <x:c r="G60" s="68"/>
      <x:c r="H60" s="68"/>
      <x:c r="I60" s="68"/>
      <x:c r="J60" s="68"/>
      <x:c r="K60" s="68"/>
      <x:c r="L60" s="68"/>
      <x:c r="M60" s="69"/>
      <x:c r="N60" s="2"/>
      <x:c r="O60" s="2"/>
      <x:c r="P60" s="2"/>
      <x:c r="Q60" s="2"/>
      <x:c r="R60" s="2"/>
      <x:c r="S60" s="2"/>
      <x:c r="T60" s="2"/>
      <x:c r="U60" s="2"/>
    </x:row>
    <x:row r="61">
      <x:c r="A61" s="2" t="str">
        <x:v>Cash flow from operations</x:v>
      </x:c>
      <x:c r="B61" s="58" t="n">
        <x:v>62.68</x:v>
      </x:c>
      <x:c r="C61" s="58" t="n">
        <x:v>74.09</x:v>
      </x:c>
      <x:c r="D61" s="58" t="n">
        <x:v>92.605</x:v>
      </x:c>
      <x:c r="E61" s="58" t="n">
        <x:v>86.7</x:v>
      </x:c>
      <x:c r="F61" s="58" t="n">
        <x:v>126.385</x:v>
      </x:c>
      <x:c r="G61" s="58" t="n">
        <x:v>157.5</x:v>
      </x:c>
      <x:c r="H61" s="47" t="n">
        <x:v>202.05785</x:v>
      </x:c>
      <x:c r="I61" s="47" t="n">
        <x:v>247.829478</x:v>
      </x:c>
      <x:c r="J61" s="47" t="n">
        <x:v>296.580666</x:v>
      </x:c>
      <x:c r="K61" s="47" t="n">
        <x:v>349.804796</x:v>
      </x:c>
      <x:c r="L61" s="47" t="n">
        <x:v>407.35147</x:v>
      </x:c>
      <x:c r="M61" s="47" t="n">
        <x:v>468.014937</x:v>
      </x:c>
      <x:c r="N61" s="2"/>
      <x:c r="O61" s="2"/>
      <x:c r="P61" s="2"/>
      <x:c r="Q61" s="2"/>
      <x:c r="R61" s="2"/>
      <x:c r="S61" s="2"/>
      <x:c r="T61" s="2"/>
      <x:c r="U61" s="2"/>
    </x:row>
    <x:row r="62">
      <x:c r="A62" s="2" t="str">
        <x:v>Capital expenditure</x:v>
      </x:c>
      <x:c r="B62" s="58" t="n">
        <x:v>-52</x:v>
      </x:c>
      <x:c r="C62" s="58" t="n">
        <x:v>-57</x:v>
      </x:c>
      <x:c r="D62" s="58" t="n">
        <x:v>-60</x:v>
      </x:c>
      <x:c r="E62" s="58" t="n">
        <x:v>-66</x:v>
      </x:c>
      <x:c r="F62" s="58" t="n">
        <x:v>-72</x:v>
      </x:c>
      <x:c r="G62" s="58" t="n">
        <x:v>-78</x:v>
      </x:c>
      <x:c r="H62" s="47" t="n">
        <x:v>-84</x:v>
      </x:c>
      <x:c r="I62" s="47" t="n">
        <x:v>-91</x:v>
      </x:c>
      <x:c r="J62" s="47" t="n">
        <x:v>-98</x:v>
      </x:c>
      <x:c r="K62" s="47" t="n">
        <x:v>-105</x:v>
      </x:c>
      <x:c r="L62" s="47" t="n">
        <x:v>-112</x:v>
      </x:c>
      <x:c r="M62" s="47" t="n">
        <x:v>-120</x:v>
      </x:c>
      <x:c r="N62" s="2"/>
      <x:c r="O62" s="2"/>
      <x:c r="P62" s="2"/>
      <x:c r="Q62" s="2"/>
      <x:c r="R62" s="2"/>
      <x:c r="S62" s="2"/>
      <x:c r="T62" s="2"/>
      <x:c r="U62" s="2"/>
    </x:row>
    <x:row r="63">
      <x:c r="A63" s="28" t="str">
        <x:v>Free cash flow</x:v>
      </x:c>
      <x:c r="B63" s="60" t="n">
        <x:f>SUM(B61:B62)</x:f>
        <x:v>10.68</x:v>
      </x:c>
      <x:c r="C63" s="60" t="n">
        <x:f>SUM(C61:C62)</x:f>
        <x:v>17.090000000000003</x:v>
      </x:c>
      <x:c r="D63" s="60" t="n">
        <x:f>SUM(D61:D62)</x:f>
        <x:v>32.605000000000004</x:v>
      </x:c>
      <x:c r="E63" s="60" t="n">
        <x:f>SUM(E61:E62)</x:f>
        <x:v>20.700000000000003</x:v>
      </x:c>
      <x:c r="F63" s="60" t="n">
        <x:f>SUM(F61:F62)</x:f>
        <x:v>54.385000000000005</x:v>
      </x:c>
      <x:c r="G63" s="60" t="n">
        <x:f>SUM(G61:G62)</x:f>
        <x:v>79.5</x:v>
      </x:c>
      <x:c r="H63" s="49" t="n">
        <x:f>SUM(H61:H62)</x:f>
        <x:v>118.05785</x:v>
      </x:c>
      <x:c r="I63" s="49" t="n">
        <x:f>SUM(I61:I62)</x:f>
        <x:v>156.829478</x:v>
      </x:c>
      <x:c r="J63" s="49" t="n">
        <x:f>SUM(J61:J62)</x:f>
        <x:v>198.580666</x:v>
      </x:c>
      <x:c r="K63" s="49" t="n">
        <x:f>SUM(K61:K62)</x:f>
        <x:v>244.804796</x:v>
      </x:c>
      <x:c r="L63" s="49" t="n">
        <x:f>SUM(L61:L62)</x:f>
        <x:v>295.35147</x:v>
      </x:c>
      <x:c r="M63" s="49" t="n">
        <x:f>SUM(M61:M62)</x:f>
        <x:v>348.014937</x:v>
      </x:c>
      <x:c r="N63" s="2"/>
      <x:c r="O63" s="2"/>
      <x:c r="P63" s="2"/>
      <x:c r="Q63" s="2"/>
      <x:c r="R63" s="2"/>
      <x:c r="S63" s="2"/>
      <x:c r="T63" s="2"/>
      <x:c r="U63" s="2"/>
    </x:row>
    <x:row r="64">
      <x:c r="A64" s="29" t="str">
        <x:v>FCF / Net income</x:v>
      </x:c>
      <x:c r="B64" s="59" t="n">
        <x:f>B63/B31</x:f>
        <x:v>0.9143835616438356</x:v>
      </x:c>
      <x:c r="C64" s="59" t="n">
        <x:f>C63/C31</x:f>
        <x:v>0.7094229970942301</x:v>
      </x:c>
      <x:c r="D64" s="59" t="n">
        <x:f>D63/D31</x:f>
        <x:v>1.0316405632020251</x:v>
      </x:c>
      <x:c r="E64" s="59" t="n">
        <x:f>E63/E31</x:f>
        <x:v>0.5085995085995086</x:v>
      </x:c>
      <x:c r="F64" s="59" t="n">
        <x:f>F63/F31</x:f>
        <x:v>1.0000000000000002</x:v>
      </x:c>
      <x:c r="G64" s="59" t="n">
        <x:f>G63/G31</x:f>
        <x:v>1.0392156862745099</x:v>
      </x:c>
      <x:c r="H64" s="48" t="n">
        <x:f>H63/H31</x:f>
        <x:v>1.035069922850553</x:v>
      </x:c>
      <x:c r="I64" s="48" t="n">
        <x:f>I63/I31</x:f>
        <x:v>1.0261729595350493</x:v>
      </x:c>
      <x:c r="J64" s="48" t="n">
        <x:f>J63/J31</x:f>
        <x:v>1.0205570283922778</x:v>
      </x:c>
      <x:c r="K64" s="48" t="n">
        <x:f>K63/K31</x:f>
        <x:v>1.0166109661592246</x:v>
      </x:c>
      <x:c r="L64" s="48" t="n">
        <x:f>L63/L31</x:f>
        <x:v>1.0137291242882671</x:v>
      </x:c>
      <x:c r="M64" s="48" t="n">
        <x:f>M63/M31</x:f>
        <x:v>1.0086952798284659</x:v>
      </x:c>
      <x:c r="N64" s="2"/>
      <x:c r="O64" s="2"/>
      <x:c r="P64" s="2"/>
      <x:c r="Q64" s="2"/>
      <x:c r="R64" s="2"/>
      <x:c r="S64" s="2"/>
      <x:c r="T64" s="2"/>
      <x:c r="U64" s="2"/>
    </x:row>
  </x:sheetData>
  <x:conditionalFormatting sqref="B31:M31">
    <x:cfRule type="cellIs" dxfId="0" priority="1" operator="lessThan">
      <x:formula>0</x:formula>
    </x:cfRule>
  </x:conditionalFormatting>
  <x:conditionalFormatting sqref="B57:M57">
    <x:cfRule type="colorScale" priority="2">
      <x:colorScale>
        <x:cfvo type="min"/>
        <x:cfvo type="percentile" val="50"/>
        <x:cfvo type="max"/>
        <x:color rgb="FFE2F0D9"/>
        <x:color rgb="FFFFF2CC"/>
        <x:color rgb="FFFCE4D6"/>
      </x:colorScale>
    </x:cfRule>
  </x:conditionalFormatting>
  <x:pageMargins left="0.7" right="0.7" top="0.75" bottom="0.75" header="0.3" footer="0.3"/>
  <x:drawing xmlns:r="http://schemas.openxmlformats.org/officeDocument/2006/relationships" r:id="R68f21d7793f2402d"/>
</x:worksheet>
</file>

<file path=xl/worksheets/sheet2.xml><?xml version="1.0" encoding="utf-8"?>
<x:worksheet xmlns:x="http://schemas.openxmlformats.org/spreadsheetml/2006/main">
  <x:sheetPr>
    <x:tabColor rgb="FF8EA9DB"/>
  </x:sheetPr>
  <x:sheetViews>
    <x:sheetView showGridLines="0" workbookViewId="0"/>
  </x:sheetViews>
  <x:sheetFormatPr defaultRowHeight="15"/>
  <x:cols>
    <x:col min="1" max="1" width="24" hidden="0" customWidth="1"/>
    <x:col min="2" max="2" width="10" hidden="0" customWidth="1"/>
    <x:col min="3" max="3" width="16" hidden="0" customWidth="1"/>
    <x:col min="4" max="4" width="26" hidden="0" customWidth="1"/>
  </x:cols>
  <x:sheetData>
    <x:row r="1">
      <x:c r="A1" s="6" t="str">
        <x:v>Metric</x:v>
      </x:c>
      <x:c r="B1" s="6" t="str">
        <x:v>Unit</x:v>
      </x:c>
      <x:c r="C1" s="6" t="str">
        <x:v>Forecast Value</x:v>
      </x:c>
      <x:c r="D1" s="6" t="str">
        <x:v>Description</x:v>
      </x:c>
    </x:row>
    <x:row r="2">
      <x:c r="A2" s="2" t="str">
        <x:v>Revenue growth 2025</x:v>
      </x:c>
      <x:c r="B2" s="2" t="str">
        <x:v>%</x:v>
      </x:c>
      <x:c r="C2" s="9" t="n">
        <x:v>0.0725</x:v>
      </x:c>
      <x:c r="D2" s="2" t="str">
        <x:v>First estimate year</x:v>
      </x:c>
    </x:row>
    <x:row r="3">
      <x:c r="A3" s="2" t="str">
        <x:v>Revenue growth 2026</x:v>
      </x:c>
      <x:c r="B3" s="2" t="str">
        <x:v>%</x:v>
      </x:c>
      <x:c r="C3" s="9" t="n">
        <x:v>0.065</x:v>
      </x:c>
      <x:c r="D3" s="2" t="str">
        <x:v>Estimate</x:v>
      </x:c>
    </x:row>
    <x:row r="4">
      <x:c r="A4" s="2" t="str">
        <x:v>Revenue growth 2027</x:v>
      </x:c>
      <x:c r="B4" s="2" t="str">
        <x:v>%</x:v>
      </x:c>
      <x:c r="C4" s="9" t="n">
        <x:v>0.058</x:v>
      </x:c>
      <x:c r="D4" s="2" t="str">
        <x:v>Estimate</x:v>
      </x:c>
    </x:row>
    <x:row r="5">
      <x:c r="A5" s="2" t="str">
        <x:v>Revenue growth 2028</x:v>
      </x:c>
      <x:c r="B5" s="2" t="str">
        <x:v>%</x:v>
      </x:c>
      <x:c r="C5" s="9" t="n">
        <x:v>0.061</x:v>
      </x:c>
      <x:c r="D5" s="2" t="str">
        <x:v>Estimate</x:v>
      </x:c>
    </x:row>
    <x:row r="6">
      <x:c r="A6" s="2" t="str">
        <x:v>Revenue growth 2029</x:v>
      </x:c>
      <x:c r="B6" s="2" t="str">
        <x:v>%</x:v>
      </x:c>
      <x:c r="C6" s="9" t="n">
        <x:v>0.055</x:v>
      </x:c>
      <x:c r="D6" s="2" t="str">
        <x:v>Estimate</x:v>
      </x:c>
    </x:row>
    <x:row r="7">
      <x:c r="A7" s="2" t="str">
        <x:v>Revenue growth 2030</x:v>
      </x:c>
      <x:c r="B7" s="2" t="str">
        <x:v>%</x:v>
      </x:c>
      <x:c r="C7" s="9" t="n">
        <x:v>0.05</x:v>
      </x:c>
      <x:c r="D7" s="2" t="str">
        <x:v>Estimate</x:v>
      </x:c>
    </x:row>
  </x:sheetData>
  <x:dataValidations count="1">
    <x:dataValidation type="decimal" operator="between" sqref="C2:C7">
      <x:formula1>0</x:formula1>
      <x:formula2>0.25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d4aa6ce323c840a2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28" hidden="0" customWidth="1"/>
    <x:col min="3" max="3" width="12" hidden="0" customWidth="1"/>
    <x:col min="4" max="4" width="18" hidden="0" customWidth="1"/>
  </x:cols>
  <x:sheetData>
    <x:row r="1">
      <x:c r="A1" s="6" t="str">
        <x:v>Year</x:v>
      </x:c>
      <x:c r="B1" s="6" t="str">
        <x:v>Segment</x:v>
      </x:c>
      <x:c r="C1" s="6" t="str">
        <x:v>Sort Order</x:v>
      </x:c>
      <x:c r="D1" s="6" t="str">
        <x:v>Revenue (USD m)</x:v>
      </x:c>
    </x:row>
    <x:row r="2">
      <x:c r="A2" s="2" t="n">
        <x:v>2019</x:v>
      </x:c>
      <x:c r="B2" s="2" t="str">
        <x:v>Analytical Instruments</x:v>
      </x:c>
      <x:c r="C2" s="2" t="n">
        <x:v>1</x:v>
      </x:c>
      <x:c r="D2" s="10" t="n">
        <x:v>364.8</x:v>
      </x:c>
    </x:row>
    <x:row r="3">
      <x:c r="A3" s="2" t="n">
        <x:v>2019</x:v>
      </x:c>
      <x:c r="B3" s="2" t="str">
        <x:v>Life Science Systems</x:v>
      </x:c>
      <x:c r="C3" s="2" t="n">
        <x:v>2</x:v>
      </x:c>
      <x:c r="D3" s="10" t="n">
        <x:v>243.2</x:v>
      </x:c>
    </x:row>
    <x:row r="4">
      <x:c r="A4" s="2" t="n">
        <x:v>2019</x:v>
      </x:c>
      <x:c r="B4" s="2" t="str">
        <x:v>Service &amp; Consumables</x:v>
      </x:c>
      <x:c r="C4" s="2" t="n">
        <x:v>3</x:v>
      </x:c>
      <x:c r="D4" s="10" t="n">
        <x:v>152</x:v>
      </x:c>
    </x:row>
    <x:row r="5">
      <x:c r="A5" s="2" t="n">
        <x:v>2020</x:v>
      </x:c>
      <x:c r="B5" s="2" t="str">
        <x:v>Analytical Instruments</x:v>
      </x:c>
      <x:c r="C5" s="2" t="n">
        <x:v>1</x:v>
      </x:c>
      <x:c r="D5" s="10" t="n">
        <x:v>383.05</x:v>
      </x:c>
    </x:row>
    <x:row r="6">
      <x:c r="A6" s="2" t="n">
        <x:v>2020</x:v>
      </x:c>
      <x:c r="B6" s="2" t="str">
        <x:v>Life Science Systems</x:v>
      </x:c>
      <x:c r="C6" s="2" t="n">
        <x:v>2</x:v>
      </x:c>
      <x:c r="D6" s="10" t="n">
        <x:v>268.95</x:v>
      </x:c>
    </x:row>
    <x:row r="7">
      <x:c r="A7" s="2" t="n">
        <x:v>2020</x:v>
      </x:c>
      <x:c r="B7" s="2" t="str">
        <x:v>Service &amp; Consumables</x:v>
      </x:c>
      <x:c r="C7" s="2" t="n">
        <x:v>3</x:v>
      </x:c>
      <x:c r="D7" s="10" t="n">
        <x:v>163</x:v>
      </x:c>
    </x:row>
    <x:row r="8">
      <x:c r="A8" s="2" t="n">
        <x:v>2021</x:v>
      </x:c>
      <x:c r="B8" s="2" t="str">
        <x:v>Analytical Instruments</x:v>
      </x:c>
      <x:c r="C8" s="2" t="n">
        <x:v>1</x:v>
      </x:c>
      <x:c r="D8" s="10" t="n">
        <x:v>401.12</x:v>
      </x:c>
    </x:row>
    <x:row r="9">
      <x:c r="A9" s="2" t="n">
        <x:v>2021</x:v>
      </x:c>
      <x:c r="B9" s="2" t="str">
        <x:v>Life Science Systems</x:v>
      </x:c>
      <x:c r="C9" s="2" t="n">
        <x:v>2</x:v>
      </x:c>
      <x:c r="D9" s="10" t="n">
        <x:v>296.48</x:v>
      </x:c>
    </x:row>
    <x:row r="10">
      <x:c r="A10" s="2" t="n">
        <x:v>2021</x:v>
      </x:c>
      <x:c r="B10" s="2" t="str">
        <x:v>Service &amp; Consumables</x:v>
      </x:c>
      <x:c r="C10" s="2" t="n">
        <x:v>3</x:v>
      </x:c>
      <x:c r="D10" s="10" t="n">
        <x:v>174.4</x:v>
      </x:c>
    </x:row>
    <x:row r="11">
      <x:c r="A11" s="2" t="n">
        <x:v>2022</x:v>
      </x:c>
      <x:c r="B11" s="2" t="str">
        <x:v>Analytical Instruments</x:v>
      </x:c>
      <x:c r="C11" s="2" t="n">
        <x:v>1</x:v>
      </x:c>
      <x:c r="D11" s="10" t="n">
        <x:v>436.08</x:v>
      </x:c>
    </x:row>
    <x:row r="12">
      <x:c r="A12" s="2" t="n">
        <x:v>2022</x:v>
      </x:c>
      <x:c r="B12" s="2" t="str">
        <x:v>Life Science Systems</x:v>
      </x:c>
      <x:c r="C12" s="2" t="n">
        <x:v>2</x:v>
      </x:c>
      <x:c r="D12" s="10" t="n">
        <x:v>322.32</x:v>
      </x:c>
    </x:row>
    <x:row r="13">
      <x:c r="A13" s="2" t="n">
        <x:v>2022</x:v>
      </x:c>
      <x:c r="B13" s="2" t="str">
        <x:v>Service &amp; Consumables</x:v>
      </x:c>
      <x:c r="C13" s="2" t="n">
        <x:v>3</x:v>
      </x:c>
      <x:c r="D13" s="10" t="n">
        <x:v>189.6</x:v>
      </x:c>
    </x:row>
    <x:row r="14">
      <x:c r="A14" s="2" t="n">
        <x:v>2023</x:v>
      </x:c>
      <x:c r="B14" s="2" t="str">
        <x:v>Analytical Instruments</x:v>
      </x:c>
      <x:c r="C14" s="2" t="n">
        <x:v>1</x:v>
      </x:c>
      <x:c r="D14" s="10" t="n">
        <x:v>470.25</x:v>
      </x:c>
    </x:row>
    <x:row r="15">
      <x:c r="A15" s="2" t="n">
        <x:v>2023</x:v>
      </x:c>
      <x:c r="B15" s="2" t="str">
        <x:v>Life Science Systems</x:v>
      </x:c>
      <x:c r="C15" s="2" t="n">
        <x:v>2</x:v>
      </x:c>
      <x:c r="D15" s="10" t="n">
        <x:v>365.75</x:v>
      </x:c>
    </x:row>
    <x:row r="16">
      <x:c r="A16" s="2" t="n">
        <x:v>2023</x:v>
      </x:c>
      <x:c r="B16" s="2" t="str">
        <x:v>Service &amp; Consumables</x:v>
      </x:c>
      <x:c r="C16" s="2" t="n">
        <x:v>3</x:v>
      </x:c>
      <x:c r="D16" s="10" t="n">
        <x:v>209</x:v>
      </x:c>
    </x:row>
    <x:row r="17">
      <x:c r="A17" s="2" t="n">
        <x:v>2024</x:v>
      </x:c>
      <x:c r="B17" s="2" t="str">
        <x:v>Analytical Instruments</x:v>
      </x:c>
      <x:c r="C17" s="2" t="n">
        <x:v>1</x:v>
      </x:c>
      <x:c r="D17" s="10" t="n">
        <x:v>521.1</x:v>
      </x:c>
    </x:row>
    <x:row r="18">
      <x:c r="A18" s="2" t="n">
        <x:v>2024</x:v>
      </x:c>
      <x:c r="B18" s="2" t="str">
        <x:v>Life Science Systems</x:v>
      </x:c>
      <x:c r="C18" s="2" t="n">
        <x:v>2</x:v>
      </x:c>
      <x:c r="D18" s="10" t="n">
        <x:v>405.3</x:v>
      </x:c>
    </x:row>
    <x:row r="19">
      <x:c r="A19" s="2" t="n">
        <x:v>2024</x:v>
      </x:c>
      <x:c r="B19" s="2" t="str">
        <x:v>Service &amp; Consumables</x:v>
      </x:c>
      <x:c r="C19" s="2" t="n">
        <x:v>3</x:v>
      </x:c>
      <x:c r="D19" s="10" t="n">
        <x:v>231.6</x:v>
      </x:c>
    </x:row>
    <x:row r="20">
      <x:c r="A20" s="2" t="n">
        <x:v>2025</x:v>
      </x:c>
      <x:c r="B20" s="2" t="str">
        <x:v>Analytical Instruments</x:v>
      </x:c>
      <x:c r="C20" s="2" t="n">
        <x:v>1</x:v>
      </x:c>
      <x:c r="D20" s="10" t="n">
        <x:v>558.87975</x:v>
      </x:c>
    </x:row>
    <x:row r="21">
      <x:c r="A21" s="2" t="n">
        <x:v>2025</x:v>
      </x:c>
      <x:c r="B21" s="2" t="str">
        <x:v>Life Science Systems</x:v>
      </x:c>
      <x:c r="C21" s="2" t="n">
        <x:v>2</x:v>
      </x:c>
      <x:c r="D21" s="10" t="n">
        <x:v>434.68425</x:v>
      </x:c>
    </x:row>
    <x:row r="22">
      <x:c r="A22" s="2" t="n">
        <x:v>2025</x:v>
      </x:c>
      <x:c r="B22" s="2" t="str">
        <x:v>Service &amp; Consumables</x:v>
      </x:c>
      <x:c r="C22" s="2" t="n">
        <x:v>3</x:v>
      </x:c>
      <x:c r="D22" s="10" t="n">
        <x:v>248.391</x:v>
      </x:c>
    </x:row>
    <x:row r="23">
      <x:c r="A23" s="2" t="n">
        <x:v>2026</x:v>
      </x:c>
      <x:c r="B23" s="2" t="str">
        <x:v>Analytical Instruments</x:v>
      </x:c>
      <x:c r="C23" s="2" t="n">
        <x:v>1</x:v>
      </x:c>
      <x:c r="D23" s="10" t="n">
        <x:v>581.980113</x:v>
      </x:c>
    </x:row>
    <x:row r="24">
      <x:c r="A24" s="2" t="n">
        <x:v>2026</x:v>
      </x:c>
      <x:c r="B24" s="2" t="str">
        <x:v>Life Science Systems</x:v>
      </x:c>
      <x:c r="C24" s="2" t="n">
        <x:v>2</x:v>
      </x:c>
      <x:c r="D24" s="10" t="n">
        <x:v>476.165547</x:v>
      </x:c>
    </x:row>
    <x:row r="25">
      <x:c r="A25" s="2" t="n">
        <x:v>2026</x:v>
      </x:c>
      <x:c r="B25" s="2" t="str">
        <x:v>Service &amp; Consumables</x:v>
      </x:c>
      <x:c r="C25" s="2" t="n">
        <x:v>3</x:v>
      </x:c>
      <x:c r="D25" s="10" t="n">
        <x:v>264.536415</x:v>
      </x:c>
    </x:row>
    <x:row r="26">
      <x:c r="A26" s="2" t="n">
        <x:v>2027</x:v>
      </x:c>
      <x:c r="B26" s="2" t="str">
        <x:v>Analytical Instruments</x:v>
      </x:c>
      <x:c r="C26" s="2" t="n">
        <x:v>1</x:v>
      </x:c>
      <x:c r="D26" s="10" t="n">
        <x:v>615.734959</x:v>
      </x:c>
    </x:row>
    <x:row r="27">
      <x:c r="A27" s="2" t="n">
        <x:v>2027</x:v>
      </x:c>
      <x:c r="B27" s="2" t="str">
        <x:v>Life Science Systems</x:v>
      </x:c>
      <x:c r="C27" s="2" t="n">
        <x:v>2</x:v>
      </x:c>
      <x:c r="D27" s="10" t="n">
        <x:v>503.783149</x:v>
      </x:c>
    </x:row>
    <x:row r="28">
      <x:c r="A28" s="2" t="n">
        <x:v>2027</x:v>
      </x:c>
      <x:c r="B28" s="2" t="str">
        <x:v>Service &amp; Consumables</x:v>
      </x:c>
      <x:c r="C28" s="2" t="n">
        <x:v>3</x:v>
      </x:c>
      <x:c r="D28" s="10" t="n">
        <x:v>279.879527</x:v>
      </x:c>
    </x:row>
    <x:row r="29">
      <x:c r="A29" s="2" t="n">
        <x:v>2028</x:v>
      </x:c>
      <x:c r="B29" s="2" t="str">
        <x:v>Analytical Instruments</x:v>
      </x:c>
      <x:c r="C29" s="2" t="n">
        <x:v>1</x:v>
      </x:c>
      <x:c r="D29" s="10" t="n">
        <x:v>638.447183</x:v>
      </x:c>
    </x:row>
    <x:row r="30">
      <x:c r="A30" s="2" t="n">
        <x:v>2028</x:v>
      </x:c>
      <x:c r="B30" s="2" t="str">
        <x:v>Life Science Systems</x:v>
      </x:c>
      <x:c r="C30" s="2" t="n">
        <x:v>2</x:v>
      </x:c>
      <x:c r="D30" s="10" t="n">
        <x:v>549.36153</x:v>
      </x:c>
    </x:row>
    <x:row r="31">
      <x:c r="A31" s="2" t="n">
        <x:v>2028</x:v>
      </x:c>
      <x:c r="B31" s="2" t="str">
        <x:v>Service &amp; Consumables</x:v>
      </x:c>
      <x:c r="C31" s="2" t="n">
        <x:v>3</x:v>
      </x:c>
      <x:c r="D31" s="10" t="n">
        <x:v>296.952178</x:v>
      </x:c>
    </x:row>
    <x:row r="32">
      <x:c r="A32" s="2" t="n">
        <x:v>2029</x:v>
      </x:c>
      <x:c r="B32" s="2" t="str">
        <x:v>Analytical Instruments</x:v>
      </x:c>
      <x:c r="C32" s="2" t="n">
        <x:v>1</x:v>
      </x:c>
      <x:c r="D32" s="10" t="n">
        <x:v>673.561778</x:v>
      </x:c>
    </x:row>
    <x:row r="33">
      <x:c r="A33" s="2" t="n">
        <x:v>2029</x:v>
      </x:c>
      <x:c r="B33" s="2" t="str">
        <x:v>Life Science Systems</x:v>
      </x:c>
      <x:c r="C33" s="2" t="n">
        <x:v>2</x:v>
      </x:c>
      <x:c r="D33" s="10" t="n">
        <x:v>579.576414</x:v>
      </x:c>
    </x:row>
    <x:row r="34">
      <x:c r="A34" s="2" t="n">
        <x:v>2029</x:v>
      </x:c>
      <x:c r="B34" s="2" t="str">
        <x:v>Service &amp; Consumables</x:v>
      </x:c>
      <x:c r="C34" s="2" t="n">
        <x:v>3</x:v>
      </x:c>
      <x:c r="D34" s="10" t="n">
        <x:v>313.284548</x:v>
      </x:c>
    </x:row>
    <x:row r="35">
      <x:c r="A35" s="2" t="n">
        <x:v>2030</x:v>
      </x:c>
      <x:c r="B35" s="2" t="str">
        <x:v>Analytical Instruments</x:v>
      </x:c>
      <x:c r="C35" s="2" t="n">
        <x:v>1</x:v>
      </x:c>
      <x:c r="D35" s="10" t="n">
        <x:v>690.792428</x:v>
      </x:c>
    </x:row>
    <x:row r="36">
      <x:c r="A36" s="2" t="n">
        <x:v>2030</x:v>
      </x:c>
      <x:c r="B36" s="2" t="str">
        <x:v>Life Science Systems</x:v>
      </x:c>
      <x:c r="C36" s="2" t="n">
        <x:v>2</x:v>
      </x:c>
      <x:c r="D36" s="10" t="n">
        <x:v>625.002673</x:v>
      </x:c>
    </x:row>
    <x:row r="37">
      <x:c r="A37" s="2" t="n">
        <x:v>2030</x:v>
      </x:c>
      <x:c r="B37" s="2" t="str">
        <x:v>Service &amp; Consumables</x:v>
      </x:c>
      <x:c r="C37" s="2" t="n">
        <x:v>3</x:v>
      </x:c>
      <x:c r="D37" s="10" t="n">
        <x:v>328.948776</x:v>
      </x:c>
    </x:row>
  </x:sheetData>
  <x:pageMargins left="0.7" right="0.7" top="0.75" bottom="0.75" header="0.3" footer="0.3"/>
  <x:tableParts count="1">
    <x:tablePart xmlns:r="http://schemas.openxmlformats.org/officeDocument/2006/relationships" r:id="R8601bedb13fe458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</x:cols>
  <x:sheetData>
    <x:row r="2">
      <x:c r="A2" s="72" t="str">
        <x:v>Model audit</x:v>
      </x:c>
      <x:c r="B2" s="72"/>
      <x:c r="C2" s="72"/>
      <x:c r="D2" s="72"/>
      <x:c r="E2" s="72"/>
      <x:c r="F2" s="72"/>
    </x:row>
    <x:row r="3">
      <x:c r="A3" s="2"/>
      <x:c r="B3" s="2"/>
      <x:c r="C3" s="2"/>
      <x:c r="D3" s="2"/>
      <x:c r="E3" s="2"/>
      <x:c r="F3" s="2"/>
    </x:row>
    <x:row r="4">
      <x:c r="A4" s="30" t="str">
        <x:v>Check</x:v>
      </x:c>
      <x:c r="B4" s="30" t="str">
        <x:v>2019</x:v>
      </x:c>
      <x:c r="C4" s="30" t="str">
        <x:v>2024</x:v>
      </x:c>
      <x:c r="D4" s="30" t="str">
        <x:v>2030</x:v>
      </x:c>
      <x:c r="E4" s="30" t="str">
        <x:v>Tolerance</x:v>
      </x:c>
      <x:c r="F4" s="30" t="str">
        <x:v>Status</x:v>
      </x:c>
    </x:row>
    <x:row r="5">
      <x:c r="A5" s="2" t="str">
        <x:v>Segment revenue tie</x:v>
      </x:c>
      <x:c r="B5" s="73" t="n">
        <x:f>SUMIFS('Segment Detail'!$D$2:$D$37,'Segment Detail'!$A$2:$A$37,2019)-'FY results'!B8</x:f>
        <x:v>0</x:v>
      </x:c>
      <x:c r="C5" s="73" t="n">
        <x:f>SUMIFS('Segment Detail'!$D$2:$D$37,'Segment Detail'!$A$2:$A$37,2024)-'FY results'!G8</x:f>
        <x:v>0</x:v>
      </x:c>
      <x:c r="D5" s="73" t="n">
        <x:f>SUMIFS('Segment Detail'!$D$2:$D$37,'Segment Detail'!$A$2:$A$37,2030)-'FY results'!M8</x:f>
        <x:v>-1.2305918062338606e-7</x:v>
      </x:c>
      <x:c r="E5" s="73" t="n">
        <x:v>0.01</x:v>
      </x:c>
      <x:c r="F5" s="2" t="str">
        <x:f>IF(MAX(ABS(B5),ABS(C5),ABS(D5))&lt;=E5,"PASS","REVIEW")</x:f>
        <x:v>PASS</x:v>
      </x:c>
    </x:row>
    <x:row r="6">
      <x:c r="A6" s="2" t="str">
        <x:v>Net debt calculation</x:v>
      </x:c>
      <x:c r="B6" s="73" t="n">
        <x:f>'FY results'!B55-('FY results'!B54-'FY results'!B53)</x:f>
        <x:v>0</x:v>
      </x:c>
      <x:c r="C6" s="73" t="n">
        <x:f>'FY results'!G55-('FY results'!G54-'FY results'!G53)</x:f>
        <x:v>0</x:v>
      </x:c>
      <x:c r="D6" s="73" t="n">
        <x:f>'FY results'!M55-('FY results'!M54-'FY results'!M53)</x:f>
        <x:v>0</x:v>
      </x:c>
      <x:c r="E6" s="73" t="n">
        <x:v>0.01</x:v>
      </x:c>
      <x:c r="F6" s="2" t="str">
        <x:f>IF(MAX(ABS(B6),ABS(C6),ABS(D6))&lt;=E6,"PASS","REVIEW")</x:f>
        <x:v>PASS</x:v>
      </x:c>
    </x:row>
    <x:row r="7">
      <x:c r="A7" s="2" t="str">
        <x:v>EPS calculation</x:v>
      </x:c>
      <x:c r="B7" s="73" t="n">
        <x:f>'FY results'!B37-('FY results'!B31/'FY results'!B36)</x:f>
        <x:v>0</x:v>
      </x:c>
      <x:c r="C7" s="73" t="n">
        <x:f>'FY results'!G37-('FY results'!G31/'FY results'!G36)</x:f>
        <x:v>0</x:v>
      </x:c>
      <x:c r="D7" s="73" t="n">
        <x:f>'FY results'!M37-('FY results'!M31/'FY results'!M36)</x:f>
        <x:v>0</x:v>
      </x:c>
      <x:c r="E7" s="73" t="n">
        <x:v>0.0001</x:v>
      </x:c>
      <x:c r="F7" s="2" t="str">
        <x:f>IF(MAX(ABS(B7),ABS(C7),ABS(D7))&lt;=E7,"PASS","REVIEW")</x:f>
        <x:v>PASS</x:v>
      </x:c>
    </x:row>
    <x:row r="8">
      <x:c r="A8" s="2" t="str">
        <x:v>Free cash flow calculation</x:v>
      </x:c>
      <x:c r="B8" s="73" t="n">
        <x:f>'FY results'!B63-SUM('FY results'!B61:B62)</x:f>
        <x:v>0</x:v>
      </x:c>
      <x:c r="C8" s="73" t="n">
        <x:f>'FY results'!G63-SUM('FY results'!G61:G62)</x:f>
        <x:v>0</x:v>
      </x:c>
      <x:c r="D8" s="73" t="n">
        <x:f>'FY results'!M63-SUM('FY results'!M61:M62)</x:f>
        <x:v>0</x:v>
      </x:c>
      <x:c r="E8" s="73" t="n">
        <x:v>0.01</x:v>
      </x:c>
      <x:c r="F8" s="2" t="str">
        <x:f>IF(MAX(ABS(B8),ABS(C8),ABS(D8))&lt;=E8,"PASS","REVIEW")</x:f>
        <x:v>PASS</x:v>
      </x:c>
    </x:row>
  </x:sheetData>
  <x:conditionalFormatting sqref="F5:F8">
    <x:cfRule type="containsText" dxfId="1" priority="1" operator="containsText" text="REVIEW"/>
    <x:cfRule type="containsText" dxfId="2" priority="2" operator="containsText" text="PASS"/>
  </x:conditionalFormatting>
  <x:pageMargins left="0.7" right="0.7" top="0.75" bottom="0.75" header="0.3" footer="0.3"/>
</x:worksheet>
</file>