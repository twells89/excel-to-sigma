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fe8809f65e4e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78277fe91a834041"/>
    <x:sheet xmlns:r="http://schemas.openxmlformats.org/officeDocument/2006/relationships" name="Monthly Model" sheetId="2" r:id="R4be952f27ca144ab"/>
    <x:sheet xmlns:r="http://schemas.openxmlformats.org/officeDocument/2006/relationships" name="Forecast Inputs" sheetId="3" r:id="Rbed28113498546b3"/>
    <x:sheet xmlns:r="http://schemas.openxmlformats.org/officeDocument/2006/relationships" name="Actuals Detail" sheetId="4" r:id="R5e1c723ee3e4437e"/>
    <x:sheet xmlns:r="http://schemas.openxmlformats.org/officeDocument/2006/relationships" name="Line Definitions" sheetId="5" r:id="R95082949b52d4f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$#,##0;($#,##0);-"/>
    <x:numFmt numFmtId="202" formatCode="0.0%"/>
  </x:numFmts>
  <x:fonts count="10">
    <x:font>
      <x:sz val="11"/>
      <x:name val="Carlito"/>
    </x:font>
    <x:font>
      <x:sz val="10"/>
      <x:color rgb="FF222222"/>
      <x:name val="Arial"/>
    </x:font>
    <x:font>
      <x:b/>
      <x:sz val="10"/>
      <x:color rgb="FFFFFFFF"/>
      <x:name val="Arial"/>
    </x:font>
    <x:font>
      <x:b/>
      <x:sz val="15"/>
      <x:color rgb="FF17365D"/>
      <x:name val="Arial"/>
    </x:font>
    <x:font>
      <x:i/>
      <x:sz val="10"/>
      <x:color rgb="FF666666"/>
      <x:name val="Arial"/>
    </x:font>
    <x:font>
      <x:b/>
      <x:sz val="10"/>
      <x:color rgb="FF222222"/>
      <x:name val="Arial"/>
    </x:font>
    <x:font>
      <x:i/>
      <x:sz val="10"/>
      <x:color rgb="FF222222"/>
      <x:name val="Arial"/>
    </x:font>
    <x:font>
      <x:sz val="10"/>
      <x:color rgb="FF0000FF"/>
      <x:name val="Arial"/>
    </x:font>
    <x:font>
      <x:b/>
      <x:sz val="9"/>
      <x:color rgb="FF17365D"/>
      <x:name val="Arial"/>
    </x:font>
    <x:font>
      <x:b/>
      <x:sz val="10"/>
      <x:color rgb="FF17365D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D9EAF7"/>
      </x:patternFill>
    </x:fill>
  </x:fills>
  <x:borders count="7">
    <x:border>
      <x:left/>
      <x:right/>
      <x:top/>
      <x:bottom/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/>
      <x:right/>
      <x:top/>
      <x:bottom style="thin">
        <x:color rgb="FF2F75B5"/>
      </x:bottom>
      <x:diagonal/>
    </x:border>
    <x:border>
      <x:left style="thin">
        <x:color rgb="FF2F75B5"/>
      </x:left>
      <x:right/>
      <x:top style="thin">
        <x:color rgb="FF2F75B5"/>
      </x:top>
      <x:bottom style="thin">
        <x:color rgb="FF2F75B5"/>
      </x:bottom>
      <x:diagonal/>
    </x:border>
    <x:border>
      <x:left/>
      <x:right/>
      <x:top style="thin">
        <x:color rgb="FF2F75B5"/>
      </x:top>
      <x:bottom style="thin">
        <x:color rgb="FF2F75B5"/>
      </x:bottom>
      <x:diagonal/>
    </x:border>
    <x:border>
      <x:left/>
      <x:right style="thin">
        <x:color rgb="FF2F75B5"/>
      </x:right>
      <x:top style="thin">
        <x:color rgb="FF2F75B5"/>
      </x:top>
      <x:bottom style="thin">
        <x:color rgb="FF2F75B5"/>
      </x:bottom>
      <x:diagonal/>
    </x:border>
    <x:border>
      <x:left/>
      <x:right/>
      <x:top style="double">
        <x:color rgb="FF17365D"/>
      </x:top>
      <x:bottom/>
      <x:diagonal/>
    </x:border>
  </x:borders>
  <x:cellStyleXfs count="1">
    <x:xf numFmtId="0" fontId="0" fillId="0" borderId="0"/>
  </x:cellStyleXfs>
  <x:cellXfs count="5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4" fillId="0" borderId="0" xfId="0" applyNumberFormat="1" applyFont="1" applyFill="1" applyBorder="1"/>
    <x:xf numFmtId="0" fontId="5" fillId="0" borderId="2" xfId="0" applyNumberFormat="1" applyFont="1" applyFill="1" applyBorder="1"/>
    <x:xf numFmtId="0" fontId="6" fillId="0" borderId="0" xfId="0" applyNumberFormat="1" applyFont="1" applyFill="1" applyBorder="1"/>
    <x:xf numFmtId="0" fontId="5" fillId="0" borderId="2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/>
    </x:xf>
    <x:xf numFmtId="202" fontId="7" fillId="3" borderId="0" xfId="0" applyNumberFormat="1" applyFont="1" applyFill="1" applyBorder="1" applyAlignment="1">
      <x:alignment vertical="center"/>
    </x:xf>
    <x:xf numFmtId="201" fontId="7" fillId="3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0" fillId="5" borderId="0" xfId="0" applyNumberFormat="1" applyFont="1" applyFill="1" applyBorder="1"/>
    <x:xf numFmtId="0" fontId="8" fillId="4" borderId="0" xfId="0" applyNumberFormat="1" applyFont="1" applyFill="1" applyBorder="1"/>
    <x:xf numFmtId="0" fontId="8" fillId="5" borderId="0" xfId="0" applyNumberFormat="1" applyFont="1" applyFill="1" applyBorder="1"/>
    <x:xf numFmtId="0" fontId="8" fillId="4" borderId="0" xfId="0" applyNumberFormat="1" applyFont="1" applyFill="1" applyBorder="1" applyAlignment="1">
      <x:alignment horizontal="center"/>
    </x:xf>
    <x:xf numFmtId="0" fontId="8" fillId="5" borderId="0" xfId="0" applyNumberFormat="1" applyFont="1" applyFill="1" applyBorder="1" applyAlignment="1">
      <x:alignment horizontal="center"/>
    </x:xf>
    <x:xf numFmtId="0" fontId="9" fillId="5" borderId="0" xfId="0" applyNumberFormat="1" applyFont="1" applyFill="1" applyBorder="1"/>
    <x:xf numFmtId="0" fontId="9" fillId="5" borderId="3" xfId="0" applyNumberFormat="1" applyFont="1" applyFill="1" applyBorder="1"/>
    <x:xf numFmtId="0" fontId="9" fillId="5" borderId="4" xfId="0" applyNumberFormat="1" applyFont="1" applyFill="1" applyBorder="1"/>
    <x:xf numFmtId="0" fontId="9" fillId="5" borderId="5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/>
    </x:xf>
    <x:xf numFmtId="0" fontId="5" fillId="5" borderId="3" xfId="0" applyNumberFormat="1" applyFont="1" applyFill="1" applyBorder="1"/>
    <x:xf numFmtId="0" fontId="5" fillId="5" borderId="4" xfId="0" applyNumberFormat="1" applyFont="1" applyFill="1" applyBorder="1"/>
    <x:xf numFmtId="0" fontId="5" fillId="5" borderId="5" xfId="0" applyNumberFormat="1" applyFont="1" applyFill="1" applyBorder="1"/>
    <x:xf numFmtId="0" fontId="5" fillId="2" borderId="1" xfId="0" applyNumberFormat="1" applyFont="1" applyFill="1" applyBorder="1" applyAlignment="1">
      <x:alignment horizontal="center" vertic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5" fillId="5" borderId="3" xfId="0" applyNumberFormat="1" applyFont="1" applyFill="1" applyBorder="1" applyAlignment="1">
      <x:alignment vertical="center"/>
    </x:xf>
    <x:xf numFmtId="0" fontId="5" fillId="5" borderId="4" xfId="0" applyNumberFormat="1" applyFont="1" applyFill="1" applyBorder="1" applyAlignment="1">
      <x:alignment vertical="center"/>
    </x:xf>
    <x:xf numFmtId="0" fontId="5" fillId="5" borderId="5" xfId="0" applyNumberFormat="1" applyFont="1" applyFill="1" applyBorder="1" applyAlignment="1">
      <x:alignment vertical="center"/>
    </x:xf>
    <x:xf numFmtId="201" fontId="5" fillId="5" borderId="4" xfId="0" applyNumberFormat="1" applyFont="1" applyFill="1" applyBorder="1" applyAlignment="1">
      <x:alignment vertical="center"/>
    </x:xf>
    <x:xf numFmtId="201" fontId="5" fillId="5" borderId="5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201" fontId="9" fillId="0" borderId="0" xfId="0" applyNumberFormat="1" applyFont="1" applyFill="1" applyBorder="1" applyAlignment="1">
      <x:alignment vertical="center"/>
    </x:xf>
    <x:xf numFmtId="0" fontId="9" fillId="0" borderId="6" xfId="0" applyNumberFormat="1" applyFont="1" applyFill="1" applyBorder="1" applyAlignment="1">
      <x:alignment vertical="center"/>
    </x:xf>
    <x:xf numFmtId="201" fontId="9" fillId="0" borderId="6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4"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BF9000"/>
      </x:font>
      <x:fill>
        <x:patternFill patternType="solid">
          <x:bgColor rgb="FFFFE69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102d1ff2564781" /><Relationship Type="http://schemas.openxmlformats.org/officeDocument/2006/relationships/theme" Target="/xl/theme/theme1.xml" Id="R3fcfd814cc114d4e" /><Relationship Type="http://schemas.openxmlformats.org/officeDocument/2006/relationships/sharedStrings" Target="/xl/sharedStrings.xml" Id="Rc89569b6db894cd4" /><Relationship Type="http://schemas.openxmlformats.org/officeDocument/2006/relationships/worksheet" Target="/xl/worksheets/sheet1.xml" Id="R78277fe91a834041" /><Relationship Type="http://schemas.openxmlformats.org/officeDocument/2006/relationships/worksheet" Target="/xl/worksheets/sheet2.xml" Id="R4be952f27ca144ab" /><Relationship Type="http://schemas.openxmlformats.org/officeDocument/2006/relationships/worksheet" Target="/xl/worksheets/sheet3.xml" Id="Rbed28113498546b3" /><Relationship Type="http://schemas.openxmlformats.org/officeDocument/2006/relationships/worksheet" Target="/xl/worksheets/sheet4.xml" Id="R5e1c723ee3e4437e" /><Relationship Type="http://schemas.openxmlformats.org/officeDocument/2006/relationships/worksheet" Target="/xl/worksheets/sheet5.xml" Id="R95082949b52d4fb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610cc96406e499a" /><Relationship Type="http://schemas.openxmlformats.org/officeDocument/2006/relationships/chart" Target="/xl/drawings/charts/chart2.xml" Id="Rf5fa68060a794a4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Monthly revenue, EBITDA, and net income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Revenue</c:v>
          </c:tx>
          <c:marker>
            <c:symbol val="none"/>
          </c:marker>
          <c:cat>
            <c:strRef>
              <c:f>'Dashboard'!$A$11:$A$22</c:f>
              <c:strCache>
                <c:ptCount val="0"/>
              </c:strCache>
            </c:strRef>
          </c:cat>
          <c:val>
            <c:numRef>
              <c:f>'Dashboard'!$B$11:$B$22</c:f>
              <c:numCache>
                <c:formatCode>$#,##0;($#,##0);-</c:formatCode>
                <c:ptCount val="0"/>
              </c:numCache>
            </c:numRef>
          </c:val>
          <c:smooth val="0"/>
        </c:ser>
        <c:ser>
          <c:idx val="1"/>
          <c:order val="1"/>
          <c:tx>
            <c:v>EBITDA</c:v>
          </c:tx>
          <c:marker>
            <c:symbol val="none"/>
          </c:marker>
          <c:cat>
            <c:strRef>
              <c:f>'Dashboard'!$A$11:$A$22</c:f>
              <c:strCache>
                <c:ptCount val="0"/>
              </c:strCache>
            </c:strRef>
          </c:cat>
          <c:val>
            <c:numRef>
              <c:f>'Dashboard'!$C$11:$C$22</c:f>
              <c:numCache>
                <c:formatCode>$#,##0;($#,##0);-</c:formatCode>
                <c:ptCount val="0"/>
              </c:numCache>
            </c:numRef>
          </c:val>
          <c:smooth val="0"/>
        </c:ser>
        <c:ser>
          <c:idx val="2"/>
          <c:order val="2"/>
          <c:tx>
            <c:v>Net Income</c:v>
          </c:tx>
          <c:marker>
            <c:symbol val="none"/>
          </c:marker>
          <c:cat>
            <c:strRef>
              <c:f>'Dashboard'!$A$11:$A$22</c:f>
              <c:strCache>
                <c:ptCount val="0"/>
              </c:strCache>
            </c:strRef>
          </c:cat>
          <c:val>
            <c:numRef>
              <c:f>'Dashboard'!$D$11:$D$22</c:f>
              <c:numCache>
                <c:formatCode>$#,##0;($#,##0);-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,,&quot;M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FY total by statement section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FY Total</c:v>
          </c:tx>
          <c:invertIfNegative val="0"/>
          <c:cat>
            <c:strRef>
              <c:f>'Dashboard'!$F$20:$F$23</c:f>
              <c:strCache>
                <c:ptCount val="0"/>
              </c:strCache>
            </c:strRef>
          </c:cat>
          <c:val>
            <c:numRef>
              <c:f>'Dashboard'!$G$20:$G$23</c:f>
              <c:numCache>
                <c:formatCode>$0.0,,"M"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,,&quot;M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14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610cc96406e499a"/>
        </a:graphicData>
      </a:graphic>
    </xdr:graphicFrame>
    <xdr:clientData/>
  </xdr:twoCellAnchor>
  <xdr:twoCellAnchor>
    <xdr:from>
      <xdr:col>5</xdr:col>
      <xdr:colOff>0</xdr:colOff>
      <xdr:row>18</xdr:row>
      <xdr:rowOff>0</xdr:rowOff>
    </xdr:from>
    <xdr:to>
      <xdr:col>14</xdr:col>
      <xdr:colOff>0</xdr:colOff>
      <xdr:row>32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5fa68060a794a4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3" name="tblFixtureForecastInputs" displayName="tblFixtureForecastInputs" ref="A5:I17" headerRowCount="1" totalsRowCount="0" totalsRowShown="0">
  <x:autoFilter ref="A5:I17"/>
  <x:tableColumns count="9">
    <x:tableColumn id="1" name="Line Item"/>
    <x:tableColumn id="2" name="Method"/>
    <x:tableColumn id="3" name="Monthly Growth"/>
    <x:tableColumn id="4" name="Jul-26"/>
    <x:tableColumn id="5" name="Aug-26"/>
    <x:tableColumn id="6" name="Sep-26"/>
    <x:tableColumn id="7" name="Oct-26"/>
    <x:tableColumn id="8" name="Nov-26"/>
    <x:tableColumn id="9" name="Dec-26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tblFixtureActuals" displayName="tblFixtureActuals" ref="A1:I163" headerRowCount="1" totalsRowCount="0" totalsRowShown="0">
  <x:autoFilter ref="A1:I163"/>
  <x:tableColumns count="9">
    <x:tableColumn id="1" name="Date"/>
    <x:tableColumn id="2" name="Month"/>
    <x:tableColumn id="3" name="Line Item"/>
    <x:tableColumn id="4" name="Section"/>
    <x:tableColumn id="5" name="Section Order"/>
    <x:tableColumn id="6" name="Line Order"/>
    <x:tableColumn id="7" name="Department"/>
    <x:tableColumn id="8" name="Counterparty"/>
    <x:tableColumn id="9" name="Amoun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tblFixtureLines" displayName="tblFixtureLines" ref="A1:F13" headerRowCount="1" totalsRowCount="0" totalsRowShown="0">
  <x:autoFilter ref="A1:F13"/>
  <x:tableColumns count="6">
    <x:tableColumn id="1" name="Line Item"/>
    <x:tableColumn id="2" name="Section"/>
    <x:tableColumn id="3" name="Section Order"/>
    <x:tableColumn id="4" name="Line Order"/>
    <x:tableColumn id="5" name="Forecast Method"/>
    <x:tableColumn id="6" name="Own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eb4d03524c543a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7d6cc1aced2c415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0b50ca4df07e478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f2012b9f011f492e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</x:cols>
  <x:sheetData>
    <x:row r="2">
      <x:c r="A2" s="14" t="str">
        <x:v>FY2026 forecast overview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>
      <x:c r="A4" s="40" t="str">
        <x:v>Metric</x:v>
      </x:c>
      <x:c r="B4" s="40" t="str">
        <x:v>FY2026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>
      <x:c r="A5" s="2" t="str">
        <x:v>Revenue</x:v>
      </x:c>
      <x:c r="B5" s="8" t="n">
        <x:f>'Monthly Model'!O22</x:f>
        <x:v>8780854.725467272</x:v>
      </x:c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>
      <x:c r="A6" s="2" t="str">
        <x:v>EBITDA</x:v>
      </x:c>
      <x:c r="B6" s="8" t="n">
        <x:f>'Monthly Model'!O27</x:f>
        <x:v>1089835.579492266</x:v>
      </x:c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>
      <x:c r="A7" s="2" t="str">
        <x:v>EBITDA Margin</x:v>
      </x:c>
      <x:c r="B7" s="58" t="n">
        <x:f>B6/B5</x:f>
        <x:v>0.12411497668118755</x:v>
      </x:c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</x:row>
    <x:row r="8">
      <x:c r="A8" s="2" t="str">
        <x:v>Net Income</x:v>
      </x:c>
      <x:c r="B8" s="8" t="n">
        <x:f>'Monthly Model'!O28</x:f>
        <x:v>851685.579492266</x:v>
      </x:c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</x:row>
    <x:row r="10">
      <x:c r="A10" s="40" t="str">
        <x:v>Month</x:v>
      </x:c>
      <x:c r="B10" s="40" t="str">
        <x:v>Revenue</x:v>
      </x:c>
      <x:c r="C10" s="40" t="str">
        <x:v>EBITDA</x:v>
      </x:c>
      <x:c r="D10" s="40" t="str">
        <x:v>Net Income</x:v>
      </x:c>
      <x:c r="E10" s="2"/>
      <x:c r="F10" s="2"/>
      <x:c r="G10" s="2"/>
      <x:c r="H10" s="2"/>
      <x:c r="I10" s="2"/>
      <x:c r="J10" s="2"/>
      <x:c r="K10" s="2"/>
      <x:c r="L10" s="2"/>
      <x:c r="M10" s="2"/>
      <x:c r="N10" s="2"/>
    </x:row>
    <x:row r="11">
      <x:c r="A11" s="2" t="str">
        <x:v>Jan-26</x:v>
      </x:c>
      <x:c r="B11" s="8" t="n">
        <x:f>'Monthly Model'!C22</x:f>
        <x:v>556000</x:v>
      </x:c>
      <x:c r="C11" s="8" t="n">
        <x:f>'Monthly Model'!C27</x:f>
        <x:v>0</x:v>
      </x:c>
      <x:c r="D11" s="8" t="n">
        <x:f>'Monthly Model'!C28</x:f>
        <x:v>-19400</x:v>
      </x:c>
      <x:c r="E11" s="2"/>
      <x:c r="F11" s="2"/>
      <x:c r="G11" s="2"/>
      <x:c r="H11" s="2"/>
      <x:c r="I11" s="2"/>
      <x:c r="J11" s="2"/>
      <x:c r="K11" s="2"/>
      <x:c r="L11" s="2"/>
      <x:c r="M11" s="2"/>
      <x:c r="N11" s="2"/>
    </x:row>
    <x:row r="12">
      <x:c r="A12" s="2" t="str">
        <x:v>Feb-26</x:v>
      </x:c>
      <x:c r="B12" s="8" t="n">
        <x:f>'Monthly Model'!D22</x:f>
        <x:v>585000</x:v>
      </x:c>
      <x:c r="C12" s="8" t="n">
        <x:f>'Monthly Model'!D27</x:f>
        <x:v>4150</x:v>
      </x:c>
      <x:c r="D12" s="8" t="n">
        <x:f>'Monthly Model'!D28</x:f>
        <x:v>-15700</x:v>
      </x:c>
      <x:c r="E12" s="2"/>
      <x:c r="F12" s="2"/>
      <x:c r="G12" s="2"/>
      <x:c r="H12" s="2"/>
      <x:c r="I12" s="2"/>
      <x:c r="J12" s="2"/>
      <x:c r="K12" s="2"/>
      <x:c r="L12" s="2"/>
      <x:c r="M12" s="2"/>
      <x:c r="N12" s="2"/>
    </x:row>
    <x:row r="13">
      <x:c r="A13" s="2" t="str">
        <x:v>Mar-26</x:v>
      </x:c>
      <x:c r="B13" s="8" t="n">
        <x:f>'Monthly Model'!E22</x:f>
        <x:v>615400</x:v>
      </x:c>
      <x:c r="C13" s="8" t="n">
        <x:f>'Monthly Model'!E27</x:f>
        <x:v>33700</x:v>
      </x:c>
      <x:c r="D13" s="8" t="n">
        <x:f>'Monthly Model'!E28</x:f>
        <x:v>14750</x:v>
      </x:c>
      <x:c r="E13" s="2"/>
      <x:c r="F13" s="2"/>
      <x:c r="G13" s="2"/>
      <x:c r="H13" s="2"/>
      <x:c r="I13" s="2"/>
      <x:c r="J13" s="2"/>
      <x:c r="K13" s="2"/>
      <x:c r="L13" s="2"/>
      <x:c r="M13" s="2"/>
      <x:c r="N13" s="2"/>
    </x:row>
    <x:row r="14">
      <x:c r="A14" s="2" t="str">
        <x:v>Apr-26</x:v>
      </x:c>
      <x:c r="B14" s="8" t="n">
        <x:f>'Monthly Model'!F22</x:f>
        <x:v>650800</x:v>
      </x:c>
      <x:c r="C14" s="8" t="n">
        <x:f>'Monthly Model'!F27</x:f>
        <x:v>36550</x:v>
      </x:c>
      <x:c r="D14" s="8" t="n">
        <x:f>'Monthly Model'!F28</x:f>
        <x:v>16350</x:v>
      </x:c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>
      <x:c r="A15" s="2" t="str">
        <x:v>May-26</x:v>
      </x:c>
      <x:c r="B15" s="8" t="n">
        <x:f>'Monthly Model'!G22</x:f>
        <x:v>682400</x:v>
      </x:c>
      <x:c r="C15" s="8" t="n">
        <x:f>'Monthly Model'!G27</x:f>
        <x:v>68000</x:v>
      </x:c>
      <x:c r="D15" s="8" t="n">
        <x:f>'Monthly Model'!G28</x:f>
        <x:v>49000</x:v>
      </x:c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>
      <x:c r="A16" s="2" t="str">
        <x:v>Jun-26</x:v>
      </x:c>
      <x:c r="B16" s="8" t="n">
        <x:f>'Monthly Model'!H22</x:f>
        <x:v>745200</x:v>
      </x:c>
      <x:c r="C16" s="8" t="n">
        <x:f>'Monthly Model'!H27</x:f>
        <x:v>89450</x:v>
      </x:c>
      <x:c r="D16" s="8" t="n">
        <x:f>'Monthly Model'!H28</x:f>
        <x:v>69000</x:v>
      </x:c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>
      <x:c r="A17" s="2" t="str">
        <x:v>Jul-26</x:v>
      </x:c>
      <x:c r="B17" s="8" t="n">
        <x:f>'Monthly Model'!I22</x:f>
        <x:v>762959.9500000001</x:v>
      </x:c>
      <x:c r="C17" s="8" t="n">
        <x:f>'Monthly Model'!I27</x:f>
        <x:v>108573.07500000007</x:v>
      </x:c>
      <x:c r="D17" s="8" t="n">
        <x:f>'Monthly Model'!I28</x:f>
        <x:v>88323.07500000007</x:v>
      </x:c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>
      <x:c r="A18" s="2" t="str">
        <x:v>Aug-26</x:v>
      </x:c>
      <x:c r="B18" s="8" t="n">
        <x:f>'Monthly Model'!J22</x:f>
        <x:v>759542.5320250001</x:v>
      </x:c>
      <x:c r="C18" s="8" t="n">
        <x:f>'Monthly Model'!J27</x:f>
        <x:v>143443.01621250017</x:v>
      </x:c>
      <x:c r="D18" s="8" t="n">
        <x:f>'Monthly Model'!J28</x:f>
        <x:v>123193.01621250017</x:v>
      </x:c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>
      <x:c r="A19" s="2" t="str">
        <x:v>Sep-26</x:v>
      </x:c>
      <x:c r="B19" s="8" t="n">
        <x:f>'Monthly Model'!K22</x:f>
        <x:v>820978.5501969877</x:v>
      </x:c>
      <x:c r="C19" s="8" t="n">
        <x:f>'Monthly Model'!K27</x:f>
        <x:v>119089.41265183152</x:v>
      </x:c>
      <x:c r="D19" s="8" t="n">
        <x:f>'Monthly Model'!K28</x:f>
        <x:v>99039.41265183152</x:v>
      </x:c>
      <x:c r="E19" s="2"/>
      <x:c r="F19" s="2" t="str">
        <x:v>Section</x:v>
      </x:c>
      <x:c r="G19" s="2" t="str">
        <x:v>FY Total</x:v>
      </x:c>
      <x:c r="H19" s="2"/>
      <x:c r="I19" s="2"/>
      <x:c r="J19" s="2"/>
      <x:c r="K19" s="2"/>
      <x:c r="L19" s="2"/>
      <x:c r="M19" s="2"/>
      <x:c r="N19" s="2"/>
    </x:row>
    <x:row r="20">
      <x:c r="A20" s="2" t="str">
        <x:v>Oct-26</x:v>
      </x:c>
      <x:c r="B20" s="8" t="n">
        <x:f>'Monthly Model'!L22</x:f>
        <x:v>818300.0071649703</x:v>
      </x:c>
      <x:c r="C20" s="8" t="n">
        <x:f>'Monthly Model'!L27</x:f>
        <x:v>156543.0310903869</x:v>
      </x:c>
      <x:c r="D20" s="8" t="n">
        <x:f>'Monthly Model'!L28</x:f>
        <x:v>136493.0310903869</x:v>
      </x:c>
      <x:c r="E20" s="2"/>
      <x:c r="F20" s="2" t="str">
        <x:v>Revenue</x:v>
      </x:c>
      <x:c r="G20" s="2" t="n">
        <x:f>'Monthly Model'!O22</x:f>
        <x:v>8780854.725467272</x:v>
      </x:c>
      <x:c r="H20" s="2"/>
      <x:c r="I20" s="2"/>
      <x:c r="J20" s="2"/>
      <x:c r="K20" s="2"/>
      <x:c r="L20" s="2"/>
      <x:c r="M20" s="2"/>
      <x:c r="N20" s="2"/>
    </x:row>
    <x:row r="21">
      <x:c r="A21" s="2" t="str">
        <x:v>Nov-26</x:v>
      </x:c>
      <x:c r="B21" s="8" t="n">
        <x:f>'Monthly Model'!M22</x:f>
        <x:v>859540.152565608</x:v>
      </x:c>
      <x:c r="C21" s="8" t="n">
        <x:f>'Monthly Model'!M27</x:f>
        <x:v>116335.86414576578</x:v>
      </x:c>
      <x:c r="D21" s="8" t="n">
        <x:f>'Monthly Model'!M28</x:f>
        <x:v>96485.86414576578</x:v>
      </x:c>
      <x:c r="E21" s="2"/>
      <x:c r="F21" s="2" t="str">
        <x:v>Cost of Revenue</x:v>
      </x:c>
      <x:c r="G21" s="2" t="n">
        <x:f>'Monthly Model'!O23</x:f>
        <x:v>1776465.3611421147</x:v>
      </x:c>
      <x:c r="H21" s="2"/>
      <x:c r="I21" s="2"/>
      <x:c r="J21" s="2"/>
      <x:c r="K21" s="2"/>
      <x:c r="L21" s="2"/>
      <x:c r="M21" s="2"/>
      <x:c r="N21" s="2"/>
    </x:row>
    <x:row r="22">
      <x:c r="A22" s="2" t="str">
        <x:v>Dec-26</x:v>
      </x:c>
      <x:c r="B22" s="8" t="n">
        <x:f>'Monthly Model'!N22</x:f>
        <x:v>924733.5335147056</x:v>
      </x:c>
      <x:c r="C22" s="8" t="n">
        <x:f>'Monthly Model'!N27</x:f>
        <x:v>214001.1803917816</x:v>
      </x:c>
      <x:c r="D22" s="8" t="n">
        <x:f>'Monthly Model'!N28</x:f>
        <x:v>194151.1803917816</x:v>
      </x:c>
      <x:c r="E22" s="2"/>
      <x:c r="F22" s="2" t="str">
        <x:v>Operating Expenses</x:v>
      </x:c>
      <x:c r="G22" s="2" t="n">
        <x:f>'Monthly Model'!O24</x:f>
        <x:v>5914553.784832891</x:v>
      </x:c>
      <x:c r="H22" s="2"/>
      <x:c r="I22" s="2"/>
      <x:c r="J22" s="2"/>
      <x:c r="K22" s="2"/>
      <x:c r="L22" s="2"/>
      <x:c r="M22" s="2"/>
      <x:c r="N22" s="2"/>
    </x:row>
    <x:row r="23">
      <x:c r="A23" s="2"/>
      <x:c r="B23" s="2"/>
      <x:c r="C23" s="2"/>
      <x:c r="D23" s="2"/>
      <x:c r="E23" s="2"/>
      <x:c r="F23" s="2" t="str">
        <x:v>Below the Line</x:v>
      </x:c>
      <x:c r="G23" s="2" t="n">
        <x:f>'Monthly Model'!O25</x:f>
        <x:v>238150</x:v>
      </x:c>
      <x:c r="H23" s="2"/>
      <x:c r="I23" s="2"/>
      <x:c r="J23" s="2"/>
      <x:c r="K23" s="2"/>
      <x:c r="L23" s="2"/>
      <x:c r="M23" s="2"/>
      <x:c r="N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</x:sheetData>
  <x:conditionalFormatting sqref="D11:D22">
    <x:cfRule type="cellIs" dxfId="3" priority="1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ceb4d03524c543a9"/>
</x:worksheet>
</file>

<file path=xl/worksheets/sheet2.xml><?xml version="1.0" encoding="utf-8"?>
<x:worksheet xmlns:x="http://schemas.openxmlformats.org/spreadsheetml/2006/main">
  <x:sheetPr>
    <x:tabColor rgb="FF2F75B5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2" hidden="0" customWidth="1"/>
    <x:col min="2" max="2" width="30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</x:cols>
  <x:sheetData>
    <x:row r="2">
      <x:c r="A2" s="14" t="str">
        <x:v>Monthly P&amp;L model (USD)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</x:row>
    <x:row r="3">
      <x:c r="A3" s="15" t="str">
        <x:v>Actuals are aggregated from source detail. Forecast rows use the selected method from Forecast Inputs.</x:v>
      </x:c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  <x:c r="N3" s="15"/>
      <x:c r="O3" s="15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>
      <x:c r="A5" s="40" t="str">
        <x:v>Section</x:v>
      </x:c>
      <x:c r="B5" s="40" t="str">
        <x:v>Line Item</x:v>
      </x:c>
      <x:c r="C5" s="40" t="str">
        <x:v>Jan-26</x:v>
      </x:c>
      <x:c r="D5" s="40" t="str">
        <x:v>Feb-26</x:v>
      </x:c>
      <x:c r="E5" s="40" t="str">
        <x:v>Mar-26</x:v>
      </x:c>
      <x:c r="F5" s="40" t="str">
        <x:v>Apr-26</x:v>
      </x:c>
      <x:c r="G5" s="40" t="str">
        <x:v>May-26</x:v>
      </x:c>
      <x:c r="H5" s="40" t="str">
        <x:v>Jun-26</x:v>
      </x:c>
      <x:c r="I5" s="40" t="str">
        <x:v>Jul-26</x:v>
      </x:c>
      <x:c r="J5" s="40" t="str">
        <x:v>Aug-26</x:v>
      </x:c>
      <x:c r="K5" s="40" t="str">
        <x:v>Sep-26</x:v>
      </x:c>
      <x:c r="L5" s="40" t="str">
        <x:v>Oct-26</x:v>
      </x:c>
      <x:c r="M5" s="40" t="str">
        <x:v>Nov-26</x:v>
      </x:c>
      <x:c r="N5" s="40" t="str">
        <x:v>Dec-26</x:v>
      </x:c>
      <x:c r="O5" s="40" t="str">
        <x:v>FY Total</x:v>
      </x:c>
    </x:row>
    <x:row r="6">
      <x:c r="A6" s="2" t="str"/>
      <x:c r="B6" s="2" t="str"/>
      <x:c r="C6" s="41" t="str">
        <x:v>Actual</x:v>
      </x:c>
      <x:c r="D6" s="41" t="str">
        <x:v>Actual</x:v>
      </x:c>
      <x:c r="E6" s="41" t="str">
        <x:v>Actual</x:v>
      </x:c>
      <x:c r="F6" s="41" t="str">
        <x:v>Actual</x:v>
      </x:c>
      <x:c r="G6" s="41" t="str">
        <x:v>Actual</x:v>
      </x:c>
      <x:c r="H6" s="41" t="str">
        <x:v>Actual</x:v>
      </x:c>
      <x:c r="I6" s="42" t="str">
        <x:v>Forecast</x:v>
      </x:c>
      <x:c r="J6" s="42" t="str">
        <x:v>Forecast</x:v>
      </x:c>
      <x:c r="K6" s="42" t="str">
        <x:v>Forecast</x:v>
      </x:c>
      <x:c r="L6" s="42" t="str">
        <x:v>Forecast</x:v>
      </x:c>
      <x:c r="M6" s="42" t="str">
        <x:v>Forecast</x:v>
      </x:c>
      <x:c r="N6" s="42" t="str">
        <x:v>Forecast</x:v>
      </x:c>
      <x:c r="O6" s="2" t="str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</x:row>
    <x:row r="8">
      <x:c r="A8" s="2" t="str">
        <x:v>Revenue</x:v>
      </x:c>
      <x:c r="B8" s="2" t="str">
        <x:v>Subscription Revenue</x:v>
      </x:c>
      <x:c r="C8" s="8" t="n">
        <x:f>SUM('Actuals Detail'!$I$2,'Actuals Detail'!$I$3,'Actuals Detail'!$I$4)</x:f>
        <x:v>418000</x:v>
      </x:c>
      <x:c r="D8" s="8" t="n">
        <x:f>SUM('Actuals Detail'!$I$5,'Actuals Detail'!$I$6,'Actuals Detail'!$I$7)</x:f>
        <x:v>433100</x:v>
      </x:c>
      <x:c r="E8" s="8" t="n">
        <x:f>SUM('Actuals Detail'!$I$8,'Actuals Detail'!$I$9,'Actuals Detail'!$I$10)</x:f>
        <x:v>459400</x:v>
      </x:c>
      <x:c r="F8" s="8" t="n">
        <x:f>SUM('Actuals Detail'!$I$11,'Actuals Detail'!$I$12,'Actuals Detail'!$I$13)</x:f>
        <x:v>469700</x:v>
      </x:c>
      <x:c r="G8" s="8" t="n">
        <x:f>SUM('Actuals Detail'!$I$14,'Actuals Detail'!$I$15,'Actuals Detail'!$I$16)</x:f>
        <x:v>498100</x:v>
      </x:c>
      <x:c r="H8" s="8" t="n">
        <x:f>SUM('Actuals Detail'!$I$17,'Actuals Detail'!$I$18,'Actuals Detail'!$I$19)</x:f>
        <x:v>521100</x:v>
      </x:c>
      <x:c r="I8" s="8" t="n">
        <x:f>H8*(1+'Forecast Inputs'!$C6)</x:f>
        <x:v>537775.2000000001</x:v>
      </x:c>
      <x:c r="J8" s="8" t="n">
        <x:f>I8*(1+'Forecast Inputs'!$C6)</x:f>
        <x:v>554984.0064000001</x:v>
      </x:c>
      <x:c r="K8" s="8" t="n">
        <x:f>J8*(1+'Forecast Inputs'!$C6)</x:f>
        <x:v>572743.4946048001</x:v>
      </x:c>
      <x:c r="L8" s="8" t="n">
        <x:f>K8*(1+'Forecast Inputs'!$C6)</x:f>
        <x:v>591071.2864321538</x:v>
      </x:c>
      <x:c r="M8" s="8" t="n">
        <x:f>L8*(1+'Forecast Inputs'!$C6)</x:f>
        <x:v>609985.5675979827</x:v>
      </x:c>
      <x:c r="N8" s="8" t="n">
        <x:f>M8*(1+'Forecast Inputs'!$C6)</x:f>
        <x:v>629505.1057611181</x:v>
      </x:c>
      <x:c r="O8" s="8" t="n">
        <x:f>SUM(C8:N8)</x:f>
        <x:v>6295464.660796055</x:v>
      </x:c>
    </x:row>
    <x:row r="9">
      <x:c r="A9" s="2" t="str">
        <x:v>Revenue</x:v>
      </x:c>
      <x:c r="B9" s="2" t="str">
        <x:v>Usage Revenue</x:v>
      </x:c>
      <x:c r="C9" s="8" t="n">
        <x:f>SUM('Actuals Detail'!$I$20,'Actuals Detail'!$I$21,'Actuals Detail'!$I$22)</x:f>
        <x:v>76000</x:v>
      </x:c>
      <x:c r="D9" s="8" t="n">
        <x:f>SUM('Actuals Detail'!$I$23,'Actuals Detail'!$I$24,'Actuals Detail'!$I$25)</x:f>
        <x:v>80900</x:v>
      </x:c>
      <x:c r="E9" s="8" t="n">
        <x:f>SUM('Actuals Detail'!$I$26,'Actuals Detail'!$I$27,'Actuals Detail'!$I$28)</x:f>
        <x:v>97000</x:v>
      </x:c>
      <x:c r="F9" s="8" t="n">
        <x:f>SUM('Actuals Detail'!$I$29,'Actuals Detail'!$I$30,'Actuals Detail'!$I$31)</x:f>
        <x:v>97100</x:v>
      </x:c>
      <x:c r="G9" s="8" t="n">
        <x:f>SUM('Actuals Detail'!$I$32,'Actuals Detail'!$I$33,'Actuals Detail'!$I$34)</x:f>
        <x:v>115300</x:v>
      </x:c>
      <x:c r="H9" s="8" t="n">
        <x:f>SUM('Actuals Detail'!$I$35,'Actuals Detail'!$I$36,'Actuals Detail'!$I$37)</x:f>
        <x:v>128100</x:v>
      </x:c>
      <x:c r="I9" s="8" t="n">
        <x:f>H9*(1+'Forecast Inputs'!$C7)</x:f>
        <x:v>134184.75</x:v>
      </x:c>
      <x:c r="J9" s="8" t="n">
        <x:f>I9*(1+'Forecast Inputs'!$C7)</x:f>
        <x:v>140558.525625</x:v>
      </x:c>
      <x:c r="K9" s="8" t="n">
        <x:f>J9*(1+'Forecast Inputs'!$C7)</x:f>
        <x:v>147235.05559218753</x:v>
      </x:c>
      <x:c r="L9" s="8" t="n">
        <x:f>K9*(1+'Forecast Inputs'!$C7)</x:f>
        <x:v>154228.72073281647</x:v>
      </x:c>
      <x:c r="M9" s="8" t="n">
        <x:f>L9*(1+'Forecast Inputs'!$C7)</x:f>
        <x:v>161554.58496762527</x:v>
      </x:c>
      <x:c r="N9" s="8" t="n">
        <x:f>M9*(1+'Forecast Inputs'!$C7)</x:f>
        <x:v>169228.4277535875</x:v>
      </x:c>
      <x:c r="O9" s="8" t="n">
        <x:f>SUM(C9:N9)</x:f>
        <x:v>1501390.0646712168</x:v>
      </x:c>
    </x:row>
    <x:row r="10">
      <x:c r="A10" s="2" t="str">
        <x:v>Revenue</x:v>
      </x:c>
      <x:c r="B10" s="2" t="str">
        <x:v>Professional Services Rev</x:v>
      </x:c>
      <x:c r="C10" s="8" t="n">
        <x:f>SUM('Actuals Detail'!$I$38,'Actuals Detail'!$I$39)</x:f>
        <x:v>62000</x:v>
      </x:c>
      <x:c r="D10" s="8" t="n">
        <x:f>SUM('Actuals Detail'!$I$40,'Actuals Detail'!$I$41)</x:f>
        <x:v>71000</x:v>
      </x:c>
      <x:c r="E10" s="8" t="n">
        <x:f>SUM('Actuals Detail'!$I$42,'Actuals Detail'!$I$43)</x:f>
        <x:v>59000</x:v>
      </x:c>
      <x:c r="F10" s="8" t="n">
        <x:f>SUM('Actuals Detail'!$I$44,'Actuals Detail'!$I$45)</x:f>
        <x:v>84000</x:v>
      </x:c>
      <x:c r="G10" s="8" t="n">
        <x:f>SUM('Actuals Detail'!$I$46,'Actuals Detail'!$I$47)</x:f>
        <x:v>69000</x:v>
      </x:c>
      <x:c r="H10" s="8" t="n">
        <x:f>SUM('Actuals Detail'!$I$48,'Actuals Detail'!$I$49)</x:f>
        <x:v>96000</x:v>
      </x:c>
      <x:c r="I10" s="8" t="n">
        <x:f>'Forecast Inputs'!D8</x:f>
        <x:v>91000</x:v>
      </x:c>
      <x:c r="J10" s="8" t="n">
        <x:f>'Forecast Inputs'!E8</x:f>
        <x:v>64000</x:v>
      </x:c>
      <x:c r="K10" s="8" t="n">
        <x:f>'Forecast Inputs'!F8</x:f>
        <x:v>101000</x:v>
      </x:c>
      <x:c r="L10" s="8" t="n">
        <x:f>'Forecast Inputs'!G8</x:f>
        <x:v>73000</x:v>
      </x:c>
      <x:c r="M10" s="8" t="n">
        <x:f>'Forecast Inputs'!H8</x:f>
        <x:v>88000</x:v>
      </x:c>
      <x:c r="N10" s="8" t="n">
        <x:f>'Forecast Inputs'!I8</x:f>
        <x:v>126000</x:v>
      </x:c>
      <x:c r="O10" s="8" t="n">
        <x:f>SUM(C10:N10)</x:f>
        <x:v>984000</x:v>
      </x:c>
    </x:row>
    <x:row r="11">
      <x:c r="A11" s="2" t="str">
        <x:v>Cost of Revenue</x:v>
      </x:c>
      <x:c r="B11" s="2" t="str">
        <x:v>Hosting &amp; Infrastructure</x:v>
      </x:c>
      <x:c r="C11" s="8" t="n">
        <x:f>SUM('Actuals Detail'!$I$50,'Actuals Detail'!$I$51,'Actuals Detail'!$I$52)</x:f>
        <x:v>51000</x:v>
      </x:c>
      <x:c r="D11" s="8" t="n">
        <x:f>SUM('Actuals Detail'!$I$53,'Actuals Detail'!$I$54,'Actuals Detail'!$I$55)</x:f>
        <x:v>53550</x:v>
      </x:c>
      <x:c r="E11" s="8" t="n">
        <x:f>SUM('Actuals Detail'!$I$56,'Actuals Detail'!$I$57,'Actuals Detail'!$I$58)</x:f>
        <x:v>54850</x:v>
      </x:c>
      <x:c r="F11" s="8" t="n">
        <x:f>SUM('Actuals Detail'!$I$59,'Actuals Detail'!$I$60,'Actuals Detail'!$I$61)</x:f>
        <x:v>58200</x:v>
      </x:c>
      <x:c r="G11" s="8" t="n">
        <x:f>SUM('Actuals Detail'!$I$62,'Actuals Detail'!$I$63,'Actuals Detail'!$I$64)</x:f>
        <x:v>59200</x:v>
      </x:c>
      <x:c r="H11" s="8" t="n">
        <x:f>SUM('Actuals Detail'!$I$65,'Actuals Detail'!$I$66,'Actuals Detail'!$I$67)</x:f>
        <x:v>62750</x:v>
      </x:c>
      <x:c r="I11" s="8" t="n">
        <x:f>H11*(1+'Forecast Inputs'!$C9)</x:f>
        <x:v>64067.74999999999</x:v>
      </x:c>
      <x:c r="J11" s="8" t="n">
        <x:f>I11*(1+'Forecast Inputs'!$C9)</x:f>
        <x:v>65413.17274999998</x:v>
      </x:c>
      <x:c r="K11" s="8" t="n">
        <x:f>J11*(1+'Forecast Inputs'!$C9)</x:f>
        <x:v>66786.84937774998</x:v>
      </x:c>
      <x:c r="L11" s="8" t="n">
        <x:f>K11*(1+'Forecast Inputs'!$C9)</x:f>
        <x:v>68189.37321468272</x:v>
      </x:c>
      <x:c r="M11" s="8" t="n">
        <x:f>L11*(1+'Forecast Inputs'!$C9)</x:f>
        <x:v>69621.35005219106</x:v>
      </x:c>
      <x:c r="N11" s="8" t="n">
        <x:f>M11*(1+'Forecast Inputs'!$C9)</x:f>
        <x:v>71083.39840328706</x:v>
      </x:c>
      <x:c r="O11" s="8" t="n">
        <x:f>SUM(C11:N11)</x:f>
        <x:v>744711.8937979108</x:v>
      </x:c>
    </x:row>
    <x:row r="12">
      <x:c r="A12" s="2" t="str">
        <x:v>Cost of Revenue</x:v>
      </x:c>
      <x:c r="B12" s="2" t="str">
        <x:v>Customer Support</x:v>
      </x:c>
      <x:c r="C12" s="8" t="n">
        <x:f>SUM('Actuals Detail'!$I$68,'Actuals Detail'!$I$69)</x:f>
        <x:v>33500</x:v>
      </x:c>
      <x:c r="D12" s="8" t="n">
        <x:f>SUM('Actuals Detail'!$I$70,'Actuals Detail'!$I$71)</x:f>
        <x:v>34800</x:v>
      </x:c>
      <x:c r="E12" s="8" t="n">
        <x:f>SUM('Actuals Detail'!$I$72,'Actuals Detail'!$I$73)</x:f>
        <x:v>34850</x:v>
      </x:c>
      <x:c r="F12" s="8" t="n">
        <x:f>SUM('Actuals Detail'!$I$74,'Actuals Detail'!$I$75)</x:f>
        <x:v>36950</x:v>
      </x:c>
      <x:c r="G12" s="8" t="n">
        <x:f>SUM('Actuals Detail'!$I$76,'Actuals Detail'!$I$77)</x:f>
        <x:v>36700</x:v>
      </x:c>
      <x:c r="H12" s="8" t="n">
        <x:f>SUM('Actuals Detail'!$I$78,'Actuals Detail'!$I$79)</x:f>
        <x:v>39000</x:v>
      </x:c>
      <x:c r="I12" s="8" t="n">
        <x:f>H12*(1+'Forecast Inputs'!$C10)</x:f>
        <x:v>39487.5</x:v>
      </x:c>
      <x:c r="J12" s="8" t="n">
        <x:f>I12*(1+'Forecast Inputs'!$C10)</x:f>
        <x:v>39981.09375</x:v>
      </x:c>
      <x:c r="K12" s="8" t="n">
        <x:f>J12*(1+'Forecast Inputs'!$C10)</x:f>
        <x:v>40480.857421875</x:v>
      </x:c>
      <x:c r="L12" s="8" t="n">
        <x:f>K12*(1+'Forecast Inputs'!$C10)</x:f>
        <x:v>40986.86813964844</x:v>
      </x:c>
      <x:c r="M12" s="8" t="n">
        <x:f>L12*(1+'Forecast Inputs'!$C10)</x:f>
        <x:v>41499.203991394046</x:v>
      </x:c>
      <x:c r="N12" s="8" t="n">
        <x:f>M12*(1+'Forecast Inputs'!$C10)</x:f>
        <x:v>42017.94404128647</x:v>
      </x:c>
      <x:c r="O12" s="8" t="n">
        <x:f>SUM(C12:N12)</x:f>
        <x:v>460253.46734420396</x:v>
      </x:c>
    </x:row>
    <x:row r="13">
      <x:c r="A13" s="2" t="str">
        <x:v>Cost of Revenue</x:v>
      </x:c>
      <x:c r="B13" s="2" t="str">
        <x:v>Services Delivery</x:v>
      </x:c>
      <x:c r="C13" s="8" t="n">
        <x:f>SUM('Actuals Detail'!$I$80,'Actuals Detail'!$I$81)</x:f>
        <x:v>36000</x:v>
      </x:c>
      <x:c r="D13" s="8" t="n">
        <x:f>SUM('Actuals Detail'!$I$82,'Actuals Detail'!$I$83)</x:f>
        <x:v>40500</x:v>
      </x:c>
      <x:c r="E13" s="8" t="n">
        <x:f>SUM('Actuals Detail'!$I$84,'Actuals Detail'!$I$85)</x:f>
        <x:v>35000</x:v>
      </x:c>
      <x:c r="F13" s="8" t="n">
        <x:f>SUM('Actuals Detail'!$I$86,'Actuals Detail'!$I$87)</x:f>
        <x:v>47000</x:v>
      </x:c>
      <x:c r="G13" s="8" t="n">
        <x:f>SUM('Actuals Detail'!$I$88,'Actuals Detail'!$I$89)</x:f>
        <x:v>39000</x:v>
      </x:c>
      <x:c r="H13" s="8" t="n">
        <x:f>SUM('Actuals Detail'!$I$90,'Actuals Detail'!$I$91)</x:f>
        <x:v>53000</x:v>
      </x:c>
      <x:c r="I13" s="8" t="n">
        <x:f>'Forecast Inputs'!D11</x:f>
        <x:v>53500</x:v>
      </x:c>
      <x:c r="J13" s="8" t="n">
        <x:f>'Forecast Inputs'!E11</x:f>
        <x:v>39000</x:v>
      </x:c>
      <x:c r="K13" s="8" t="n">
        <x:f>'Forecast Inputs'!F11</x:f>
        <x:v>60500</x:v>
      </x:c>
      <x:c r="L13" s="8" t="n">
        <x:f>'Forecast Inputs'!G11</x:f>
        <x:v>44000</x:v>
      </x:c>
      <x:c r="M13" s="8" t="n">
        <x:f>'Forecast Inputs'!H11</x:f>
        <x:v>52000</x:v>
      </x:c>
      <x:c r="N13" s="8" t="n">
        <x:f>'Forecast Inputs'!I11</x:f>
        <x:v>72000</x:v>
      </x:c>
      <x:c r="O13" s="8" t="n">
        <x:f>SUM(C13:N13)</x:f>
        <x:v>571500</x:v>
      </x:c>
    </x:row>
    <x:row r="14">
      <x:c r="A14" s="2" t="str">
        <x:v>Operating Expenses</x:v>
      </x:c>
      <x:c r="B14" s="2" t="str">
        <x:v>Sales &amp; Marketing</x:v>
      </x:c>
      <x:c r="C14" s="8" t="n">
        <x:f>SUM('Actuals Detail'!$I$92,'Actuals Detail'!$I$93,'Actuals Detail'!$I$94)</x:f>
        <x:v>158000</x:v>
      </x:c>
      <x:c r="D14" s="8" t="n">
        <x:f>SUM('Actuals Detail'!$I$95,'Actuals Detail'!$I$96,'Actuals Detail'!$I$97)</x:f>
        <x:v>164000</x:v>
      </x:c>
      <x:c r="E14" s="8" t="n">
        <x:f>SUM('Actuals Detail'!$I$98,'Actuals Detail'!$I$99,'Actuals Detail'!$I$100)</x:f>
        <x:v>171000</x:v>
      </x:c>
      <x:c r="F14" s="8" t="n">
        <x:f>SUM('Actuals Detail'!$I$101,'Actuals Detail'!$I$102,'Actuals Detail'!$I$103)</x:f>
        <x:v>167000</x:v>
      </x:c>
      <x:c r="G14" s="8" t="n">
        <x:f>SUM('Actuals Detail'!$I$104,'Actuals Detail'!$I$105,'Actuals Detail'!$I$106)</x:f>
        <x:v>178000</x:v>
      </x:c>
      <x:c r="H14" s="8" t="n">
        <x:f>SUM('Actuals Detail'!$I$107,'Actuals Detail'!$I$108,'Actuals Detail'!$I$109)</x:f>
        <x:v>186000</x:v>
      </x:c>
      <x:c r="I14" s="8" t="n">
        <x:f>'Forecast Inputs'!D12</x:f>
        <x:v>181000</x:v>
      </x:c>
      <x:c r="J14" s="8" t="n">
        <x:f>'Forecast Inputs'!E12</x:f>
        <x:v>176000</x:v>
      </x:c>
      <x:c r="K14" s="8" t="n">
        <x:f>'Forecast Inputs'!F12</x:f>
        <x:v>204000</x:v>
      </x:c>
      <x:c r="L14" s="8" t="n">
        <x:f>'Forecast Inputs'!G12</x:f>
        <x:v>188000</x:v>
      </x:c>
      <x:c r="M14" s="8" t="n">
        <x:f>'Forecast Inputs'!H12</x:f>
        <x:v>232000</x:v>
      </x:c>
      <x:c r="N14" s="8" t="n">
        <x:f>'Forecast Inputs'!I12</x:f>
        <x:v>195000</x:v>
      </x:c>
      <x:c r="O14" s="8" t="n">
        <x:f>SUM(C14:N14)</x:f>
        <x:v>2200000</x:v>
      </x:c>
    </x:row>
    <x:row r="15">
      <x:c r="A15" s="2" t="str">
        <x:v>Operating Expenses</x:v>
      </x:c>
      <x:c r="B15" s="2" t="str">
        <x:v>Research &amp; Development</x:v>
      </x:c>
      <x:c r="C15" s="8" t="n">
        <x:f>SUM('Actuals Detail'!$I$110,'Actuals Detail'!$I$111)</x:f>
        <x:v>172000</x:v>
      </x:c>
      <x:c r="D15" s="8" t="n">
        <x:f>SUM('Actuals Detail'!$I$112,'Actuals Detail'!$I$113)</x:f>
        <x:v>176550</x:v>
      </x:c>
      <x:c r="E15" s="8" t="n">
        <x:f>SUM('Actuals Detail'!$I$114,'Actuals Detail'!$I$115)</x:f>
        <x:v>179850</x:v>
      </x:c>
      <x:c r="F15" s="8" t="n">
        <x:f>SUM('Actuals Detail'!$I$116,'Actuals Detail'!$I$117)</x:f>
        <x:v>185200</x:v>
      </x:c>
      <x:c r="G15" s="8" t="n">
        <x:f>SUM('Actuals Detail'!$I$118,'Actuals Detail'!$I$119)</x:f>
        <x:v>188200</x:v>
      </x:c>
      <x:c r="H15" s="8" t="n">
        <x:f>SUM('Actuals Detail'!$I$120,'Actuals Detail'!$I$121)</x:f>
        <x:v>193750</x:v>
      </x:c>
      <x:c r="I15" s="8" t="n">
        <x:f>H15*(1+'Forecast Inputs'!$C13)</x:f>
        <x:v>196462.5</x:v>
      </x:c>
      <x:c r="J15" s="8" t="n">
        <x:f>I15*(1+'Forecast Inputs'!$C13)</x:f>
        <x:v>199212.975</x:v>
      </x:c>
      <x:c r="K15" s="8" t="n">
        <x:f>J15*(1+'Forecast Inputs'!$C13)</x:f>
        <x:v>202001.95665</x:v>
      </x:c>
      <x:c r="L15" s="8" t="n">
        <x:f>K15*(1+'Forecast Inputs'!$C13)</x:f>
        <x:v>204829.9840431</x:v>
      </x:c>
      <x:c r="M15" s="8" t="n">
        <x:f>L15*(1+'Forecast Inputs'!$C13)</x:f>
        <x:v>207697.60381970342</x:v>
      </x:c>
      <x:c r="N15" s="8" t="n">
        <x:f>M15*(1+'Forecast Inputs'!$C13)</x:f>
        <x:v>210605.37027317926</x:v>
      </x:c>
      <x:c r="O15" s="8" t="n">
        <x:f>SUM(C15:N15)</x:f>
        <x:v>2316360.3897859827</x:v>
      </x:c>
    </x:row>
    <x:row r="16">
      <x:c r="A16" s="2" t="str">
        <x:v>Operating Expenses</x:v>
      </x:c>
      <x:c r="B16" s="2" t="str">
        <x:v>General &amp; Administrative</x:v>
      </x:c>
      <x:c r="C16" s="8" t="n">
        <x:f>SUM('Actuals Detail'!$I$122,'Actuals Detail'!$I$123,'Actuals Detail'!$I$124)</x:f>
        <x:v>86500</x:v>
      </x:c>
      <x:c r="D16" s="8" t="n">
        <x:f>SUM('Actuals Detail'!$I$125,'Actuals Detail'!$I$126,'Actuals Detail'!$I$127)</x:f>
        <x:v>88450</x:v>
      </x:c>
      <x:c r="E16" s="8" t="n">
        <x:f>SUM('Actuals Detail'!$I$128,'Actuals Detail'!$I$129,'Actuals Detail'!$I$130)</x:f>
        <x:v>89150</x:v>
      </x:c>
      <x:c r="F16" s="8" t="n">
        <x:f>SUM('Actuals Detail'!$I$131,'Actuals Detail'!$I$132,'Actuals Detail'!$I$133)</x:f>
        <x:v>91900</x:v>
      </x:c>
      <x:c r="G16" s="8" t="n">
        <x:f>SUM('Actuals Detail'!$I$134,'Actuals Detail'!$I$135,'Actuals Detail'!$I$136)</x:f>
        <x:v>92300</x:v>
      </x:c>
      <x:c r="H16" s="8" t="n">
        <x:f>SUM('Actuals Detail'!$I$137,'Actuals Detail'!$I$138,'Actuals Detail'!$I$139)</x:f>
        <x:v>95250</x:v>
      </x:c>
      <x:c r="I16" s="8" t="n">
        <x:f>H16*(1+'Forecast Inputs'!$C14)</x:f>
        <x:v>95869.125</x:v>
      </x:c>
      <x:c r="J16" s="8" t="n">
        <x:f>I16*(1+'Forecast Inputs'!$C14)</x:f>
        <x:v>96492.2743125</x:v>
      </x:c>
      <x:c r="K16" s="8" t="n">
        <x:f>J16*(1+'Forecast Inputs'!$C14)</x:f>
        <x:v>97119.47409553124</x:v>
      </x:c>
      <x:c r="L16" s="8" t="n">
        <x:f>K16*(1+'Forecast Inputs'!$C14)</x:f>
        <x:v>97750.75067715219</x:v>
      </x:c>
      <x:c r="M16" s="8" t="n">
        <x:f>L16*(1+'Forecast Inputs'!$C14)</x:f>
        <x:v>98386.13055655367</x:v>
      </x:c>
      <x:c r="N16" s="8" t="n">
        <x:f>M16*(1+'Forecast Inputs'!$C14)</x:f>
        <x:v>99025.64040517127</x:v>
      </x:c>
      <x:c r="O16" s="8" t="n">
        <x:f>SUM(C16:N16)</x:f>
        <x:v>1128193.3950469084</x:v>
      </x:c>
    </x:row>
    <x:row r="17">
      <x:c r="A17" s="2" t="str">
        <x:v>Operating Expenses</x:v>
      </x:c>
      <x:c r="B17" s="2" t="str">
        <x:v>People / Recruiting</x:v>
      </x:c>
      <x:c r="C17" s="8" t="n">
        <x:f>SUM('Actuals Detail'!$I$140,'Actuals Detail'!$I$141)</x:f>
        <x:v>19000</x:v>
      </x:c>
      <x:c r="D17" s="8" t="n">
        <x:f>SUM('Actuals Detail'!$I$142,'Actuals Detail'!$I$143)</x:f>
        <x:v>23000</x:v>
      </x:c>
      <x:c r="E17" s="8" t="n">
        <x:f>SUM('Actuals Detail'!$I$144,'Actuals Detail'!$I$145)</x:f>
        <x:v>17000</x:v>
      </x:c>
      <x:c r="F17" s="8" t="n">
        <x:f>SUM('Actuals Detail'!$I$146,'Actuals Detail'!$I$147)</x:f>
        <x:v>28000</x:v>
      </x:c>
      <x:c r="G17" s="8" t="n">
        <x:f>SUM('Actuals Detail'!$I$148,'Actuals Detail'!$I$149)</x:f>
        <x:v>21000</x:v>
      </x:c>
      <x:c r="H17" s="8" t="n">
        <x:f>SUM('Actuals Detail'!$I$150,'Actuals Detail'!$I$151)</x:f>
        <x:v>26000</x:v>
      </x:c>
      <x:c r="I17" s="8" t="n">
        <x:f>'Forecast Inputs'!D15</x:f>
        <x:v>24000</x:v>
      </x:c>
      <x:c r="J17" s="8" t="n">
        <x:f>'Forecast Inputs'!E15</x:f>
        <x:v>0</x:v>
      </x:c>
      <x:c r="K17" s="8" t="n">
        <x:f>'Forecast Inputs'!F15</x:f>
        <x:v>31000</x:v>
      </x:c>
      <x:c r="L17" s="8" t="n">
        <x:f>'Forecast Inputs'!G15</x:f>
        <x:v>18000</x:v>
      </x:c>
      <x:c r="M17" s="8" t="n">
        <x:f>'Forecast Inputs'!H15</x:f>
        <x:v>42000</x:v>
      </x:c>
      <x:c r="N17" s="8" t="n">
        <x:f>'Forecast Inputs'!I15</x:f>
        <x:v>21000</x:v>
      </x:c>
      <x:c r="O17" s="8" t="n">
        <x:f>SUM(C17:N17)</x:f>
        <x:v>270000</x:v>
      </x:c>
    </x:row>
    <x:row r="18">
      <x:c r="A18" s="2" t="str">
        <x:v>Below the Line</x:v>
      </x:c>
      <x:c r="B18" s="2" t="str">
        <x:v>Depreciation &amp; Amort.</x:v>
      </x:c>
      <x:c r="C18" s="8" t="n">
        <x:f>SUM('Actuals Detail'!$I$152)</x:f>
        <x:v>13800</x:v>
      </x:c>
      <x:c r="D18" s="8" t="n">
        <x:f>SUM('Actuals Detail'!$I$153)</x:f>
        <x:v>14250</x:v>
      </x:c>
      <x:c r="E18" s="8" t="n">
        <x:f>SUM('Actuals Detail'!$I$154)</x:f>
        <x:v>13450</x:v>
      </x:c>
      <x:c r="F18" s="8" t="n">
        <x:f>SUM('Actuals Detail'!$I$155)</x:f>
        <x:v>14700</x:v>
      </x:c>
      <x:c r="G18" s="8" t="n">
        <x:f>SUM('Actuals Detail'!$I$156)</x:f>
        <x:v>13600</x:v>
      </x:c>
      <x:c r="H18" s="8" t="n">
        <x:f>SUM('Actuals Detail'!$I$157)</x:f>
        <x:v>15050</x:v>
      </x:c>
      <x:c r="I18" s="8" t="n">
        <x:f>$H18</x:f>
        <x:v>15050</x:v>
      </x:c>
      <x:c r="J18" s="8" t="n">
        <x:f>$H18</x:f>
        <x:v>15050</x:v>
      </x:c>
      <x:c r="K18" s="8" t="n">
        <x:f>$H18</x:f>
        <x:v>15050</x:v>
      </x:c>
      <x:c r="L18" s="8" t="n">
        <x:f>$H18</x:f>
        <x:v>15050</x:v>
      </x:c>
      <x:c r="M18" s="8" t="n">
        <x:f>$H18</x:f>
        <x:v>15050</x:v>
      </x:c>
      <x:c r="N18" s="8" t="n">
        <x:f>$H18</x:f>
        <x:v>15050</x:v>
      </x:c>
      <x:c r="O18" s="8" t="n">
        <x:f>SUM(C18:N18)</x:f>
        <x:v>175150</x:v>
      </x:c>
    </x:row>
    <x:row r="19">
      <x:c r="A19" s="2" t="str">
        <x:v>Below the Line</x:v>
      </x:c>
      <x:c r="B19" s="2" t="str">
        <x:v>Interest Expense</x:v>
      </x:c>
      <x:c r="C19" s="8" t="n">
        <x:f>SUM('Actuals Detail'!$I$158)</x:f>
        <x:v>5600</x:v>
      </x:c>
      <x:c r="D19" s="8" t="n">
        <x:f>SUM('Actuals Detail'!$I$159)</x:f>
        <x:v>5600</x:v>
      </x:c>
      <x:c r="E19" s="8" t="n">
        <x:f>SUM('Actuals Detail'!$I$160)</x:f>
        <x:v>5500</x:v>
      </x:c>
      <x:c r="F19" s="8" t="n">
        <x:f>SUM('Actuals Detail'!$I$161)</x:f>
        <x:v>5500</x:v>
      </x:c>
      <x:c r="G19" s="8" t="n">
        <x:f>SUM('Actuals Detail'!$I$162)</x:f>
        <x:v>5400</x:v>
      </x:c>
      <x:c r="H19" s="8" t="n">
        <x:f>SUM('Actuals Detail'!$I$163)</x:f>
        <x:v>5400</x:v>
      </x:c>
      <x:c r="I19" s="8" t="n">
        <x:f>'Forecast Inputs'!D17</x:f>
        <x:v>5200</x:v>
      </x:c>
      <x:c r="J19" s="8" t="n">
        <x:f>'Forecast Inputs'!E17</x:f>
        <x:v>5200</x:v>
      </x:c>
      <x:c r="K19" s="8" t="n">
        <x:f>'Forecast Inputs'!F17</x:f>
        <x:v>5000</x:v>
      </x:c>
      <x:c r="L19" s="8" t="n">
        <x:f>'Forecast Inputs'!G17</x:f>
        <x:v>5000</x:v>
      </x:c>
      <x:c r="M19" s="8" t="n">
        <x:f>'Forecast Inputs'!H17</x:f>
        <x:v>4800</x:v>
      </x:c>
      <x:c r="N19" s="8" t="n">
        <x:f>'Forecast Inputs'!I17</x:f>
        <x:v>4800</x:v>
      </x:c>
      <x:c r="O19" s="8" t="n">
        <x:f>SUM(C19:N19)</x:f>
        <x:v>63000</x:v>
      </x:c>
    </x:row>
    <x:row r="20">
      <x:c r="A20" s="2"/>
      <x:c r="B20" s="2"/>
      <x:c r="C20" s="8"/>
      <x:c r="D20" s="8"/>
      <x:c r="E20" s="8"/>
      <x:c r="F20" s="8"/>
      <x:c r="G20" s="8"/>
      <x:c r="H20" s="8"/>
      <x:c r="I20" s="8"/>
      <x:c r="J20" s="8"/>
      <x:c r="K20" s="8"/>
      <x:c r="L20" s="8"/>
      <x:c r="M20" s="8"/>
      <x:c r="N20" s="8"/>
      <x:c r="O20" s="8"/>
    </x:row>
    <x:row r="21">
      <x:c r="A21" s="43" t="str">
        <x:v>Monthly totals</x:v>
      </x:c>
      <x:c r="B21" s="44"/>
      <x:c r="C21" s="46"/>
      <x:c r="D21" s="46"/>
      <x:c r="E21" s="46"/>
      <x:c r="F21" s="46"/>
      <x:c r="G21" s="46"/>
      <x:c r="H21" s="46"/>
      <x:c r="I21" s="46"/>
      <x:c r="J21" s="46"/>
      <x:c r="K21" s="46"/>
      <x:c r="L21" s="46"/>
      <x:c r="M21" s="46"/>
      <x:c r="N21" s="46"/>
      <x:c r="O21" s="47"/>
    </x:row>
    <x:row r="22">
      <x:c r="A22" s="48"/>
      <x:c r="B22" s="48" t="str">
        <x:v>Revenue</x:v>
      </x:c>
      <x:c r="C22" s="49" t="n">
        <x:f>SUM(C8,C9,C10)</x:f>
        <x:v>556000</x:v>
      </x:c>
      <x:c r="D22" s="49" t="n">
        <x:f>SUM(D8,D9,D10)</x:f>
        <x:v>585000</x:v>
      </x:c>
      <x:c r="E22" s="49" t="n">
        <x:f>SUM(E8,E9,E10)</x:f>
        <x:v>615400</x:v>
      </x:c>
      <x:c r="F22" s="49" t="n">
        <x:f>SUM(F8,F9,F10)</x:f>
        <x:v>650800</x:v>
      </x:c>
      <x:c r="G22" s="49" t="n">
        <x:f>SUM(G8,G9,G10)</x:f>
        <x:v>682400</x:v>
      </x:c>
      <x:c r="H22" s="49" t="n">
        <x:f>SUM(H8,H9,H10)</x:f>
        <x:v>745200</x:v>
      </x:c>
      <x:c r="I22" s="49" t="n">
        <x:f>SUM(I8,I9,I10)</x:f>
        <x:v>762959.9500000001</x:v>
      </x:c>
      <x:c r="J22" s="49" t="n">
        <x:f>SUM(J8,J9,J10)</x:f>
        <x:v>759542.5320250001</x:v>
      </x:c>
      <x:c r="K22" s="49" t="n">
        <x:f>SUM(K8,K9,K10)</x:f>
        <x:v>820978.5501969877</x:v>
      </x:c>
      <x:c r="L22" s="49" t="n">
        <x:f>SUM(L8,L9,L10)</x:f>
        <x:v>818300.0071649703</x:v>
      </x:c>
      <x:c r="M22" s="49" t="n">
        <x:f>SUM(M8,M9,M10)</x:f>
        <x:v>859540.152565608</x:v>
      </x:c>
      <x:c r="N22" s="49" t="n">
        <x:f>SUM(N8,N9,N10)</x:f>
        <x:v>924733.5335147056</x:v>
      </x:c>
      <x:c r="O22" s="49" t="n">
        <x:f>SUM(C22:N22)</x:f>
        <x:v>8780854.725467272</x:v>
      </x:c>
    </x:row>
    <x:row r="23">
      <x:c r="A23" s="48"/>
      <x:c r="B23" s="48" t="str">
        <x:v>Cost of Revenue</x:v>
      </x:c>
      <x:c r="C23" s="49" t="n">
        <x:f>SUM(C11,C12,C13)</x:f>
        <x:v>120500</x:v>
      </x:c>
      <x:c r="D23" s="49" t="n">
        <x:f>SUM(D11,D12,D13)</x:f>
        <x:v>128850</x:v>
      </x:c>
      <x:c r="E23" s="49" t="n">
        <x:f>SUM(E11,E12,E13)</x:f>
        <x:v>124700</x:v>
      </x:c>
      <x:c r="F23" s="49" t="n">
        <x:f>SUM(F11,F12,F13)</x:f>
        <x:v>142150</x:v>
      </x:c>
      <x:c r="G23" s="49" t="n">
        <x:f>SUM(G11,G12,G13)</x:f>
        <x:v>134900</x:v>
      </x:c>
      <x:c r="H23" s="49" t="n">
        <x:f>SUM(H11,H12,H13)</x:f>
        <x:v>154750</x:v>
      </x:c>
      <x:c r="I23" s="49" t="n">
        <x:f>SUM(I11,I12,I13)</x:f>
        <x:v>157055.25</x:v>
      </x:c>
      <x:c r="J23" s="49" t="n">
        <x:f>SUM(J11,J12,J13)</x:f>
        <x:v>144394.26649999997</x:v>
      </x:c>
      <x:c r="K23" s="49" t="n">
        <x:f>SUM(K11,K12,K13)</x:f>
        <x:v>167767.70679962498</x:v>
      </x:c>
      <x:c r="L23" s="49" t="n">
        <x:f>SUM(L11,L12,L13)</x:f>
        <x:v>153176.24135433117</x:v>
      </x:c>
      <x:c r="M23" s="49" t="n">
        <x:f>SUM(M11,M12,M13)</x:f>
        <x:v>163120.5540435851</x:v>
      </x:c>
      <x:c r="N23" s="49" t="n">
        <x:f>SUM(N11,N12,N13)</x:f>
        <x:v>185101.34244457353</x:v>
      </x:c>
      <x:c r="O23" s="49" t="n">
        <x:f>SUM(C23:N23)</x:f>
        <x:v>1776465.3611421147</x:v>
      </x:c>
    </x:row>
    <x:row r="24">
      <x:c r="A24" s="48"/>
      <x:c r="B24" s="48" t="str">
        <x:v>Operating Expenses</x:v>
      </x:c>
      <x:c r="C24" s="49" t="n">
        <x:f>SUM(C14,C15,C16,C17)</x:f>
        <x:v>435500</x:v>
      </x:c>
      <x:c r="D24" s="49" t="n">
        <x:f>SUM(D14,D15,D16,D17)</x:f>
        <x:v>452000</x:v>
      </x:c>
      <x:c r="E24" s="49" t="n">
        <x:f>SUM(E14,E15,E16,E17)</x:f>
        <x:v>457000</x:v>
      </x:c>
      <x:c r="F24" s="49" t="n">
        <x:f>SUM(F14,F15,F16,F17)</x:f>
        <x:v>472100</x:v>
      </x:c>
      <x:c r="G24" s="49" t="n">
        <x:f>SUM(G14,G15,G16,G17)</x:f>
        <x:v>479500</x:v>
      </x:c>
      <x:c r="H24" s="49" t="n">
        <x:f>SUM(H14,H15,H16,H17)</x:f>
        <x:v>501000</x:v>
      </x:c>
      <x:c r="I24" s="49" t="n">
        <x:f>SUM(I14,I15,I16,I17)</x:f>
        <x:v>497331.625</x:v>
      </x:c>
      <x:c r="J24" s="49" t="n">
        <x:f>SUM(J14,J15,J16,J17)</x:f>
        <x:v>471705.2493125</x:v>
      </x:c>
      <x:c r="K24" s="49" t="n">
        <x:f>SUM(K14,K15,K16,K17)</x:f>
        <x:v>534121.4307455312</x:v>
      </x:c>
      <x:c r="L24" s="49" t="n">
        <x:f>SUM(L14,L15,L16,L17)</x:f>
        <x:v>508580.7347202522</x:v>
      </x:c>
      <x:c r="M24" s="49" t="n">
        <x:f>SUM(M14,M15,M16,M17)</x:f>
        <x:v>580083.7343762572</x:v>
      </x:c>
      <x:c r="N24" s="49" t="n">
        <x:f>SUM(N14,N15,N16,N17)</x:f>
        <x:v>525631.0106783505</x:v>
      </x:c>
      <x:c r="O24" s="49" t="n">
        <x:f>SUM(C24:N24)</x:f>
        <x:v>5914553.784832891</x:v>
      </x:c>
    </x:row>
    <x:row r="25">
      <x:c r="A25" s="48"/>
      <x:c r="B25" s="48" t="str">
        <x:v>Below the Line</x:v>
      </x:c>
      <x:c r="C25" s="49" t="n">
        <x:f>SUM(C18,C19)</x:f>
        <x:v>19400</x:v>
      </x:c>
      <x:c r="D25" s="49" t="n">
        <x:f>SUM(D18,D19)</x:f>
        <x:v>19850</x:v>
      </x:c>
      <x:c r="E25" s="49" t="n">
        <x:f>SUM(E18,E19)</x:f>
        <x:v>18950</x:v>
      </x:c>
      <x:c r="F25" s="49" t="n">
        <x:f>SUM(F18,F19)</x:f>
        <x:v>20200</x:v>
      </x:c>
      <x:c r="G25" s="49" t="n">
        <x:f>SUM(G18,G19)</x:f>
        <x:v>19000</x:v>
      </x:c>
      <x:c r="H25" s="49" t="n">
        <x:f>SUM(H18,H19)</x:f>
        <x:v>20450</x:v>
      </x:c>
      <x:c r="I25" s="49" t="n">
        <x:f>SUM(I18,I19)</x:f>
        <x:v>20250</x:v>
      </x:c>
      <x:c r="J25" s="49" t="n">
        <x:f>SUM(J18,J19)</x:f>
        <x:v>20250</x:v>
      </x:c>
      <x:c r="K25" s="49" t="n">
        <x:f>SUM(K18,K19)</x:f>
        <x:v>20050</x:v>
      </x:c>
      <x:c r="L25" s="49" t="n">
        <x:f>SUM(L18,L19)</x:f>
        <x:v>20050</x:v>
      </x:c>
      <x:c r="M25" s="49" t="n">
        <x:f>SUM(M18,M19)</x:f>
        <x:v>19850</x:v>
      </x:c>
      <x:c r="N25" s="49" t="n">
        <x:f>SUM(N18,N19)</x:f>
        <x:v>19850</x:v>
      </x:c>
      <x:c r="O25" s="49" t="n">
        <x:f>SUM(C25:N25)</x:f>
        <x:v>238150</x:v>
      </x:c>
    </x:row>
    <x:row r="26">
      <x:c r="A26" s="2"/>
      <x:c r="B26" s="2"/>
      <x:c r="C26" s="8"/>
      <x:c r="D26" s="8"/>
      <x:c r="E26" s="8"/>
      <x:c r="F26" s="8"/>
      <x:c r="G26" s="8"/>
      <x:c r="H26" s="8"/>
      <x:c r="I26" s="8"/>
      <x:c r="J26" s="8"/>
      <x:c r="K26" s="8"/>
      <x:c r="L26" s="8"/>
      <x:c r="M26" s="8"/>
      <x:c r="N26" s="8"/>
      <x:c r="O26" s="8"/>
    </x:row>
    <x:row r="27">
      <x:c r="A27" s="2"/>
      <x:c r="B27" s="50" t="str">
        <x:v>EBITDA</x:v>
      </x:c>
      <x:c r="C27" s="51" t="n">
        <x:f>C22-C23-C24</x:f>
        <x:v>0</x:v>
      </x:c>
      <x:c r="D27" s="51" t="n">
        <x:f>D22-D23-D24</x:f>
        <x:v>4150</x:v>
      </x:c>
      <x:c r="E27" s="51" t="n">
        <x:f>E22-E23-E24</x:f>
        <x:v>33700</x:v>
      </x:c>
      <x:c r="F27" s="51" t="n">
        <x:f>F22-F23-F24</x:f>
        <x:v>36550</x:v>
      </x:c>
      <x:c r="G27" s="51" t="n">
        <x:f>G22-G23-G24</x:f>
        <x:v>68000</x:v>
      </x:c>
      <x:c r="H27" s="51" t="n">
        <x:f>H22-H23-H24</x:f>
        <x:v>89450</x:v>
      </x:c>
      <x:c r="I27" s="51" t="n">
        <x:f>I22-I23-I24</x:f>
        <x:v>108573.07500000007</x:v>
      </x:c>
      <x:c r="J27" s="51" t="n">
        <x:f>J22-J23-J24</x:f>
        <x:v>143443.01621250017</x:v>
      </x:c>
      <x:c r="K27" s="51" t="n">
        <x:f>K22-K23-K24</x:f>
        <x:v>119089.41265183152</x:v>
      </x:c>
      <x:c r="L27" s="51" t="n">
        <x:f>L22-L23-L24</x:f>
        <x:v>156543.0310903869</x:v>
      </x:c>
      <x:c r="M27" s="51" t="n">
        <x:f>M22-M23-M24</x:f>
        <x:v>116335.86414576578</x:v>
      </x:c>
      <x:c r="N27" s="51" t="n">
        <x:f>N22-N23-N24</x:f>
        <x:v>214001.1803917816</x:v>
      </x:c>
      <x:c r="O27" s="51" t="n">
        <x:f>SUM(C27:N27)</x:f>
        <x:v>1089835.579492266</x:v>
      </x:c>
    </x:row>
    <x:row r="28">
      <x:c r="A28" s="2"/>
      <x:c r="B28" s="52" t="str">
        <x:v>Net Income</x:v>
      </x:c>
      <x:c r="C28" s="53" t="n">
        <x:f>C27-C25</x:f>
        <x:v>-19400</x:v>
      </x:c>
      <x:c r="D28" s="53" t="n">
        <x:f>D27-D25</x:f>
        <x:v>-15700</x:v>
      </x:c>
      <x:c r="E28" s="53" t="n">
        <x:f>E27-E25</x:f>
        <x:v>14750</x:v>
      </x:c>
      <x:c r="F28" s="53" t="n">
        <x:f>F27-F25</x:f>
        <x:v>16350</x:v>
      </x:c>
      <x:c r="G28" s="53" t="n">
        <x:f>G27-G25</x:f>
        <x:v>49000</x:v>
      </x:c>
      <x:c r="H28" s="53" t="n">
        <x:f>H27-H25</x:f>
        <x:v>69000</x:v>
      </x:c>
      <x:c r="I28" s="53" t="n">
        <x:f>I27-I25</x:f>
        <x:v>88323.07500000007</x:v>
      </x:c>
      <x:c r="J28" s="53" t="n">
        <x:f>J27-J25</x:f>
        <x:v>123193.01621250017</x:v>
      </x:c>
      <x:c r="K28" s="53" t="n">
        <x:f>K27-K25</x:f>
        <x:v>99039.41265183152</x:v>
      </x:c>
      <x:c r="L28" s="53" t="n">
        <x:f>L27-L25</x:f>
        <x:v>136493.0310903869</x:v>
      </x:c>
      <x:c r="M28" s="53" t="n">
        <x:f>M27-M25</x:f>
        <x:v>96485.86414576578</x:v>
      </x:c>
      <x:c r="N28" s="53" t="n">
        <x:f>N27-N25</x:f>
        <x:v>194151.1803917816</x:v>
      </x:c>
      <x:c r="O28" s="53" t="n">
        <x:f>SUM(C28:N28)</x:f>
        <x:v>851685.579492266</x:v>
      </x:c>
    </x:row>
  </x:sheetData>
  <x:conditionalFormatting sqref="C28:O28">
    <x:cfRule type="cellIs" dxfId="2" priority="1" operator="lessThan">
      <x:formula>0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8EA9DB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0" hidden="0" customWidth="1"/>
    <x:col min="2" max="2" width="13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</x:cols>
  <x:sheetData>
    <x:row r="2">
      <x:c r="A2" s="14" t="str">
        <x:v>Forecast inputs</x:v>
      </x:c>
      <x:c r="B2" s="14"/>
      <x:c r="C2" s="14"/>
      <x:c r="D2" s="14"/>
      <x:c r="E2" s="14"/>
      <x:c r="F2" s="14"/>
      <x:c r="G2" s="14"/>
      <x:c r="H2" s="14"/>
      <x:c r="I2" s="14"/>
    </x:row>
    <x:row r="3">
      <x:c r="A3" s="15" t="str">
        <x:v>Growth rows compound from Jun-26. Manual rows preserve explicit zero values.</x:v>
      </x:c>
      <x:c r="B3" s="15"/>
      <x:c r="C3" s="15"/>
      <x:c r="D3" s="15"/>
      <x:c r="E3" s="15"/>
      <x:c r="F3" s="15"/>
      <x:c r="G3" s="15"/>
      <x:c r="H3" s="15"/>
      <x:c r="I3" s="15"/>
    </x:row>
    <x:row r="4">
      <x:c r="A4" s="2"/>
      <x:c r="B4" s="2"/>
      <x:c r="C4" s="2"/>
      <x:c r="D4" s="2"/>
      <x:c r="E4" s="2"/>
      <x:c r="F4" s="2"/>
      <x:c r="G4" s="2"/>
      <x:c r="H4" s="2"/>
      <x:c r="I4" s="2"/>
    </x:row>
    <x:row r="5">
      <x:c r="A5" s="6" t="str">
        <x:v>Line Item</x:v>
      </x:c>
      <x:c r="B5" s="6" t="str">
        <x:v>Method</x:v>
      </x:c>
      <x:c r="C5" s="6" t="str">
        <x:v>Monthly Growth</x:v>
      </x:c>
      <x:c r="D5" s="6" t="str">
        <x:v>Jul-26</x:v>
      </x:c>
      <x:c r="E5" s="6" t="str">
        <x:v>Aug-26</x:v>
      </x:c>
      <x:c r="F5" s="6" t="str">
        <x:v>Sep-26</x:v>
      </x:c>
      <x:c r="G5" s="6" t="str">
        <x:v>Oct-26</x:v>
      </x:c>
      <x:c r="H5" s="6" t="str">
        <x:v>Nov-26</x:v>
      </x:c>
      <x:c r="I5" s="6" t="str">
        <x:v>Dec-26</x:v>
      </x:c>
    </x:row>
    <x:row r="6">
      <x:c r="A6" s="2" t="str">
        <x:v>Subscription Revenue</x:v>
      </x:c>
      <x:c r="B6" s="17" t="str">
        <x:v>growth</x:v>
      </x:c>
      <x:c r="C6" s="18" t="n">
        <x:v>0.032</x:v>
      </x:c>
      <x:c r="D6" s="19"/>
      <x:c r="E6" s="19"/>
      <x:c r="F6" s="19"/>
      <x:c r="G6" s="19"/>
      <x:c r="H6" s="19"/>
      <x:c r="I6" s="19"/>
    </x:row>
    <x:row r="7">
      <x:c r="A7" s="2" t="str">
        <x:v>Usage Revenue</x:v>
      </x:c>
      <x:c r="B7" s="17" t="str">
        <x:v>growth</x:v>
      </x:c>
      <x:c r="C7" s="18" t="n">
        <x:v>0.0475</x:v>
      </x:c>
      <x:c r="D7" s="19"/>
      <x:c r="E7" s="19"/>
      <x:c r="F7" s="19"/>
      <x:c r="G7" s="19"/>
      <x:c r="H7" s="19"/>
      <x:c r="I7" s="19"/>
    </x:row>
    <x:row r="8">
      <x:c r="A8" s="2" t="str">
        <x:v>Professional Services Rev</x:v>
      </x:c>
      <x:c r="B8" s="17" t="str">
        <x:v>manual</x:v>
      </x:c>
      <x:c r="C8" s="18"/>
      <x:c r="D8" s="19" t="n">
        <x:v>91000</x:v>
      </x:c>
      <x:c r="E8" s="19" t="n">
        <x:v>64000</x:v>
      </x:c>
      <x:c r="F8" s="19" t="n">
        <x:v>101000</x:v>
      </x:c>
      <x:c r="G8" s="19" t="n">
        <x:v>73000</x:v>
      </x:c>
      <x:c r="H8" s="19" t="n">
        <x:v>88000</x:v>
      </x:c>
      <x:c r="I8" s="19" t="n">
        <x:v>126000</x:v>
      </x:c>
    </x:row>
    <x:row r="9">
      <x:c r="A9" s="2" t="str">
        <x:v>Hosting &amp; Infrastructure</x:v>
      </x:c>
      <x:c r="B9" s="17" t="str">
        <x:v>growth</x:v>
      </x:c>
      <x:c r="C9" s="18" t="n">
        <x:v>0.021</x:v>
      </x:c>
      <x:c r="D9" s="19"/>
      <x:c r="E9" s="19"/>
      <x:c r="F9" s="19"/>
      <x:c r="G9" s="19"/>
      <x:c r="H9" s="19"/>
      <x:c r="I9" s="19"/>
    </x:row>
    <x:row r="10">
      <x:c r="A10" s="2" t="str">
        <x:v>Customer Support</x:v>
      </x:c>
      <x:c r="B10" s="17" t="str">
        <x:v>growth</x:v>
      </x:c>
      <x:c r="C10" s="18" t="n">
        <x:v>0.0125</x:v>
      </x:c>
      <x:c r="D10" s="19"/>
      <x:c r="E10" s="19"/>
      <x:c r="F10" s="19"/>
      <x:c r="G10" s="19"/>
      <x:c r="H10" s="19"/>
      <x:c r="I10" s="19"/>
    </x:row>
    <x:row r="11">
      <x:c r="A11" s="2" t="str">
        <x:v>Services Delivery</x:v>
      </x:c>
      <x:c r="B11" s="17" t="str">
        <x:v>manual</x:v>
      </x:c>
      <x:c r="C11" s="18"/>
      <x:c r="D11" s="19" t="n">
        <x:v>53500</x:v>
      </x:c>
      <x:c r="E11" s="19" t="n">
        <x:v>39000</x:v>
      </x:c>
      <x:c r="F11" s="19" t="n">
        <x:v>60500</x:v>
      </x:c>
      <x:c r="G11" s="19" t="n">
        <x:v>44000</x:v>
      </x:c>
      <x:c r="H11" s="19" t="n">
        <x:v>52000</x:v>
      </x:c>
      <x:c r="I11" s="19" t="n">
        <x:v>72000</x:v>
      </x:c>
    </x:row>
    <x:row r="12">
      <x:c r="A12" s="2" t="str">
        <x:v>Sales &amp; Marketing</x:v>
      </x:c>
      <x:c r="B12" s="17" t="str">
        <x:v>manual</x:v>
      </x:c>
      <x:c r="C12" s="18"/>
      <x:c r="D12" s="19" t="n">
        <x:v>181000</x:v>
      </x:c>
      <x:c r="E12" s="19" t="n">
        <x:v>176000</x:v>
      </x:c>
      <x:c r="F12" s="19" t="n">
        <x:v>204000</x:v>
      </x:c>
      <x:c r="G12" s="19" t="n">
        <x:v>188000</x:v>
      </x:c>
      <x:c r="H12" s="19" t="n">
        <x:v>232000</x:v>
      </x:c>
      <x:c r="I12" s="19" t="n">
        <x:v>195000</x:v>
      </x:c>
    </x:row>
    <x:row r="13">
      <x:c r="A13" s="2" t="str">
        <x:v>Research &amp; Development</x:v>
      </x:c>
      <x:c r="B13" s="17" t="str">
        <x:v>growth</x:v>
      </x:c>
      <x:c r="C13" s="18" t="n">
        <x:v>0.014</x:v>
      </x:c>
      <x:c r="D13" s="19"/>
      <x:c r="E13" s="19"/>
      <x:c r="F13" s="19"/>
      <x:c r="G13" s="19"/>
      <x:c r="H13" s="19"/>
      <x:c r="I13" s="19"/>
    </x:row>
    <x:row r="14">
      <x:c r="A14" s="2" t="str">
        <x:v>General &amp; Administrative</x:v>
      </x:c>
      <x:c r="B14" s="17" t="str">
        <x:v>growth</x:v>
      </x:c>
      <x:c r="C14" s="18" t="n">
        <x:v>0.0065</x:v>
      </x:c>
      <x:c r="D14" s="19"/>
      <x:c r="E14" s="19"/>
      <x:c r="F14" s="19"/>
      <x:c r="G14" s="19"/>
      <x:c r="H14" s="19"/>
      <x:c r="I14" s="19"/>
    </x:row>
    <x:row r="15">
      <x:c r="A15" s="2" t="str">
        <x:v>People / Recruiting</x:v>
      </x:c>
      <x:c r="B15" s="17" t="str">
        <x:v>manual</x:v>
      </x:c>
      <x:c r="C15" s="18"/>
      <x:c r="D15" s="19" t="n">
        <x:v>24000</x:v>
      </x:c>
      <x:c r="E15" s="19" t="n">
        <x:v>0</x:v>
      </x:c>
      <x:c r="F15" s="19" t="n">
        <x:v>31000</x:v>
      </x:c>
      <x:c r="G15" s="19" t="n">
        <x:v>18000</x:v>
      </x:c>
      <x:c r="H15" s="19" t="n">
        <x:v>42000</x:v>
      </x:c>
      <x:c r="I15" s="19" t="n">
        <x:v>21000</x:v>
      </x:c>
    </x:row>
    <x:row r="16">
      <x:c r="A16" s="2" t="str">
        <x:v>Depreciation &amp; Amort.</x:v>
      </x:c>
      <x:c r="B16" s="17" t="str">
        <x:v>flat</x:v>
      </x:c>
      <x:c r="C16" s="18"/>
      <x:c r="D16" s="19"/>
      <x:c r="E16" s="19"/>
      <x:c r="F16" s="19"/>
      <x:c r="G16" s="19"/>
      <x:c r="H16" s="19"/>
      <x:c r="I16" s="19"/>
    </x:row>
    <x:row r="17">
      <x:c r="A17" s="2" t="str">
        <x:v>Interest Expense</x:v>
      </x:c>
      <x:c r="B17" s="17" t="str">
        <x:v>manual</x:v>
      </x:c>
      <x:c r="C17" s="18"/>
      <x:c r="D17" s="19" t="n">
        <x:v>5200</x:v>
      </x:c>
      <x:c r="E17" s="19" t="n">
        <x:v>5200</x:v>
      </x:c>
      <x:c r="F17" s="19" t="n">
        <x:v>5000</x:v>
      </x:c>
      <x:c r="G17" s="19" t="n">
        <x:v>5000</x:v>
      </x:c>
      <x:c r="H17" s="19" t="n">
        <x:v>4800</x:v>
      </x:c>
      <x:c r="I17" s="19" t="n">
        <x:v>4800</x:v>
      </x:c>
    </x:row>
  </x:sheetData>
  <x:conditionalFormatting sqref="D6:I17">
    <x:cfRule type="cellIs" dxfId="1" priority="1" operator="equal">
      <x:formula>0</x:formula>
    </x:cfRule>
  </x:conditionalFormatting>
  <x:dataValidations count="3">
    <x:dataValidation type="list" sqref="B6:B17">
      <x:formula1>"growth,manual,flat"</x:formula1>
    </x:dataValidation>
    <x:dataValidation type="decimal" operator="between" sqref="C6:C17">
      <x:formula1>0</x:formula1>
      <x:formula2>0.25</x:formula2>
    </x:dataValidation>
    <x:dataValidation type="decimal" operator="between" sqref="D6:I17">
      <x:formula1>0</x:formula1>
      <x:formula2>1000000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7d6cc1aced2c415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1" hidden="0" customWidth="1"/>
    <x:col min="3" max="3" width="24" hidden="0" customWidth="1"/>
    <x:col min="4" max="4" width="24" hidden="0" customWidth="1"/>
    <x:col min="5" max="5" width="12" hidden="0" customWidth="1"/>
    <x:col min="6" max="6" width="12" hidden="0" customWidth="1"/>
    <x:col min="7" max="7" width="20" hidden="0" customWidth="1"/>
    <x:col min="8" max="8" width="20" hidden="0" customWidth="1"/>
    <x:col min="9" max="9" width="14" hidden="0" customWidth="1"/>
  </x:cols>
  <x:sheetData>
    <x:row r="1">
      <x:c r="A1" s="6" t="str">
        <x:v>Date</x:v>
      </x:c>
      <x:c r="B1" s="6" t="str">
        <x:v>Month</x:v>
      </x:c>
      <x:c r="C1" s="6" t="str">
        <x:v>Line Item</x:v>
      </x:c>
      <x:c r="D1" s="6" t="str">
        <x:v>Section</x:v>
      </x:c>
      <x:c r="E1" s="6" t="str">
        <x:v>Section Order</x:v>
      </x:c>
      <x:c r="F1" s="6" t="str">
        <x:v>Line Order</x:v>
      </x:c>
      <x:c r="G1" s="6" t="str">
        <x:v>Department</x:v>
      </x:c>
      <x:c r="H1" s="6" t="str">
        <x:v>Counterparty</x:v>
      </x:c>
      <x:c r="I1" s="6" t="str">
        <x:v>Amount</x:v>
      </x:c>
    </x:row>
    <x:row r="2">
      <x:c r="A2" s="7" t="d">
        <x:v>2026-01-04T00:00:00.000Z</x:v>
      </x:c>
      <x:c r="B2" s="2" t="str">
        <x:v>Jan-26</x:v>
      </x:c>
      <x:c r="C2" s="2" t="str">
        <x:v>Subscription Revenue</x:v>
      </x:c>
      <x:c r="D2" s="2" t="str">
        <x:v>Revenue</x:v>
      </x:c>
      <x:c r="E2" s="2" t="n">
        <x:v>1</x:v>
      </x:c>
      <x:c r="F2" s="2" t="n">
        <x:v>1</x:v>
      </x:c>
      <x:c r="G2" s="2" t="str">
        <x:v>Revenue</x:v>
      </x:c>
      <x:c r="H2" s="2" t="str">
        <x:v>Enterprise MRR</x:v>
      </x:c>
      <x:c r="I2" s="8" t="n">
        <x:v>225720</x:v>
      </x:c>
    </x:row>
    <x:row r="3">
      <x:c r="A3" s="7" t="d">
        <x:v>2026-01-12T00:00:00.000Z</x:v>
      </x:c>
      <x:c r="B3" s="2" t="str">
        <x:v>Jan-26</x:v>
      </x:c>
      <x:c r="C3" s="2" t="str">
        <x:v>Subscription Revenue</x:v>
      </x:c>
      <x:c r="D3" s="2" t="str">
        <x:v>Revenue</x:v>
      </x:c>
      <x:c r="E3" s="2" t="n">
        <x:v>1</x:v>
      </x:c>
      <x:c r="F3" s="2" t="n">
        <x:v>1</x:v>
      </x:c>
      <x:c r="G3" s="2" t="str">
        <x:v>Revenue</x:v>
      </x:c>
      <x:c r="H3" s="2" t="str">
        <x:v>SMB MRR</x:v>
      </x:c>
      <x:c r="I3" s="8" t="n">
        <x:v>117040</x:v>
      </x:c>
    </x:row>
    <x:row r="4">
      <x:c r="A4" s="7" t="d">
        <x:v>2026-01-20T00:00:00.000Z</x:v>
      </x:c>
      <x:c r="B4" s="2" t="str">
        <x:v>Jan-26</x:v>
      </x:c>
      <x:c r="C4" s="2" t="str">
        <x:v>Subscription Revenue</x:v>
      </x:c>
      <x:c r="D4" s="2" t="str">
        <x:v>Revenue</x:v>
      </x:c>
      <x:c r="E4" s="2" t="n">
        <x:v>1</x:v>
      </x:c>
      <x:c r="F4" s="2" t="n">
        <x:v>1</x:v>
      </x:c>
      <x:c r="G4" s="2" t="str">
        <x:v>Revenue</x:v>
      </x:c>
      <x:c r="H4" s="2" t="str">
        <x:v>Annual prepay</x:v>
      </x:c>
      <x:c r="I4" s="8" t="n">
        <x:v>75240</x:v>
      </x:c>
    </x:row>
    <x:row r="5">
      <x:c r="A5" s="7" t="d">
        <x:v>2026-02-04T00:00:00.000Z</x:v>
      </x:c>
      <x:c r="B5" s="2" t="str">
        <x:v>Feb-26</x:v>
      </x:c>
      <x:c r="C5" s="2" t="str">
        <x:v>Subscription Revenue</x:v>
      </x:c>
      <x:c r="D5" s="2" t="str">
        <x:v>Revenue</x:v>
      </x:c>
      <x:c r="E5" s="2" t="n">
        <x:v>1</x:v>
      </x:c>
      <x:c r="F5" s="2" t="n">
        <x:v>1</x:v>
      </x:c>
      <x:c r="G5" s="2" t="str">
        <x:v>Revenue</x:v>
      </x:c>
      <x:c r="H5" s="2" t="str">
        <x:v>Enterprise MRR</x:v>
      </x:c>
      <x:c r="I5" s="8" t="n">
        <x:v>233874</x:v>
      </x:c>
    </x:row>
    <x:row r="6">
      <x:c r="A6" s="7" t="d">
        <x:v>2026-02-12T00:00:00.000Z</x:v>
      </x:c>
      <x:c r="B6" s="2" t="str">
        <x:v>Feb-26</x:v>
      </x:c>
      <x:c r="C6" s="2" t="str">
        <x:v>Subscription Revenue</x:v>
      </x:c>
      <x:c r="D6" s="2" t="str">
        <x:v>Revenue</x:v>
      </x:c>
      <x:c r="E6" s="2" t="n">
        <x:v>1</x:v>
      </x:c>
      <x:c r="F6" s="2" t="n">
        <x:v>1</x:v>
      </x:c>
      <x:c r="G6" s="2" t="str">
        <x:v>Revenue</x:v>
      </x:c>
      <x:c r="H6" s="2" t="str">
        <x:v>SMB MRR</x:v>
      </x:c>
      <x:c r="I6" s="8" t="n">
        <x:v>121268</x:v>
      </x:c>
    </x:row>
    <x:row r="7">
      <x:c r="A7" s="7" t="d">
        <x:v>2026-02-20T00:00:00.000Z</x:v>
      </x:c>
      <x:c r="B7" s="2" t="str">
        <x:v>Feb-26</x:v>
      </x:c>
      <x:c r="C7" s="2" t="str">
        <x:v>Subscription Revenue</x:v>
      </x:c>
      <x:c r="D7" s="2" t="str">
        <x:v>Revenue</x:v>
      </x:c>
      <x:c r="E7" s="2" t="n">
        <x:v>1</x:v>
      </x:c>
      <x:c r="F7" s="2" t="n">
        <x:v>1</x:v>
      </x:c>
      <x:c r="G7" s="2" t="str">
        <x:v>Revenue</x:v>
      </x:c>
      <x:c r="H7" s="2" t="str">
        <x:v>Annual prepay</x:v>
      </x:c>
      <x:c r="I7" s="8" t="n">
        <x:v>77958</x:v>
      </x:c>
    </x:row>
    <x:row r="8">
      <x:c r="A8" s="7" t="d">
        <x:v>2026-03-04T00:00:00.000Z</x:v>
      </x:c>
      <x:c r="B8" s="2" t="str">
        <x:v>Mar-26</x:v>
      </x:c>
      <x:c r="C8" s="2" t="str">
        <x:v>Subscription Revenue</x:v>
      </x:c>
      <x:c r="D8" s="2" t="str">
        <x:v>Revenue</x:v>
      </x:c>
      <x:c r="E8" s="2" t="n">
        <x:v>1</x:v>
      </x:c>
      <x:c r="F8" s="2" t="n">
        <x:v>1</x:v>
      </x:c>
      <x:c r="G8" s="2" t="str">
        <x:v>Revenue</x:v>
      </x:c>
      <x:c r="H8" s="2" t="str">
        <x:v>Enterprise MRR</x:v>
      </x:c>
      <x:c r="I8" s="8" t="n">
        <x:v>248076</x:v>
      </x:c>
    </x:row>
    <x:row r="9">
      <x:c r="A9" s="7" t="d">
        <x:v>2026-03-12T00:00:00.000Z</x:v>
      </x:c>
      <x:c r="B9" s="2" t="str">
        <x:v>Mar-26</x:v>
      </x:c>
      <x:c r="C9" s="2" t="str">
        <x:v>Subscription Revenue</x:v>
      </x:c>
      <x:c r="D9" s="2" t="str">
        <x:v>Revenue</x:v>
      </x:c>
      <x:c r="E9" s="2" t="n">
        <x:v>1</x:v>
      </x:c>
      <x:c r="F9" s="2" t="n">
        <x:v>1</x:v>
      </x:c>
      <x:c r="G9" s="2" t="str">
        <x:v>Revenue</x:v>
      </x:c>
      <x:c r="H9" s="2" t="str">
        <x:v>SMB MRR</x:v>
      </x:c>
      <x:c r="I9" s="8" t="n">
        <x:v>128632</x:v>
      </x:c>
    </x:row>
    <x:row r="10">
      <x:c r="A10" s="7" t="d">
        <x:v>2026-03-20T00:00:00.000Z</x:v>
      </x:c>
      <x:c r="B10" s="2" t="str">
        <x:v>Mar-26</x:v>
      </x:c>
      <x:c r="C10" s="2" t="str">
        <x:v>Subscription Revenue</x:v>
      </x:c>
      <x:c r="D10" s="2" t="str">
        <x:v>Revenue</x:v>
      </x:c>
      <x:c r="E10" s="2" t="n">
        <x:v>1</x:v>
      </x:c>
      <x:c r="F10" s="2" t="n">
        <x:v>1</x:v>
      </x:c>
      <x:c r="G10" s="2" t="str">
        <x:v>Revenue</x:v>
      </x:c>
      <x:c r="H10" s="2" t="str">
        <x:v>Annual prepay</x:v>
      </x:c>
      <x:c r="I10" s="8" t="n">
        <x:v>82692</x:v>
      </x:c>
    </x:row>
    <x:row r="11">
      <x:c r="A11" s="7" t="d">
        <x:v>2026-04-04T00:00:00.000Z</x:v>
      </x:c>
      <x:c r="B11" s="2" t="str">
        <x:v>Apr-26</x:v>
      </x:c>
      <x:c r="C11" s="2" t="str">
        <x:v>Subscription Revenue</x:v>
      </x:c>
      <x:c r="D11" s="2" t="str">
        <x:v>Revenue</x:v>
      </x:c>
      <x:c r="E11" s="2" t="n">
        <x:v>1</x:v>
      </x:c>
      <x:c r="F11" s="2" t="n">
        <x:v>1</x:v>
      </x:c>
      <x:c r="G11" s="2" t="str">
        <x:v>Revenue</x:v>
      </x:c>
      <x:c r="H11" s="2" t="str">
        <x:v>Enterprise MRR</x:v>
      </x:c>
      <x:c r="I11" s="8" t="n">
        <x:v>253638</x:v>
      </x:c>
    </x:row>
    <x:row r="12">
      <x:c r="A12" s="7" t="d">
        <x:v>2026-04-12T00:00:00.000Z</x:v>
      </x:c>
      <x:c r="B12" s="2" t="str">
        <x:v>Apr-26</x:v>
      </x:c>
      <x:c r="C12" s="2" t="str">
        <x:v>Subscription Revenue</x:v>
      </x:c>
      <x:c r="D12" s="2" t="str">
        <x:v>Revenue</x:v>
      </x:c>
      <x:c r="E12" s="2" t="n">
        <x:v>1</x:v>
      </x:c>
      <x:c r="F12" s="2" t="n">
        <x:v>1</x:v>
      </x:c>
      <x:c r="G12" s="2" t="str">
        <x:v>Revenue</x:v>
      </x:c>
      <x:c r="H12" s="2" t="str">
        <x:v>SMB MRR</x:v>
      </x:c>
      <x:c r="I12" s="8" t="n">
        <x:v>131516</x:v>
      </x:c>
    </x:row>
    <x:row r="13">
      <x:c r="A13" s="7" t="d">
        <x:v>2026-04-20T00:00:00.000Z</x:v>
      </x:c>
      <x:c r="B13" s="2" t="str">
        <x:v>Apr-26</x:v>
      </x:c>
      <x:c r="C13" s="2" t="str">
        <x:v>Subscription Revenue</x:v>
      </x:c>
      <x:c r="D13" s="2" t="str">
        <x:v>Revenue</x:v>
      </x:c>
      <x:c r="E13" s="2" t="n">
        <x:v>1</x:v>
      </x:c>
      <x:c r="F13" s="2" t="n">
        <x:v>1</x:v>
      </x:c>
      <x:c r="G13" s="2" t="str">
        <x:v>Revenue</x:v>
      </x:c>
      <x:c r="H13" s="2" t="str">
        <x:v>Annual prepay</x:v>
      </x:c>
      <x:c r="I13" s="8" t="n">
        <x:v>84546</x:v>
      </x:c>
    </x:row>
    <x:row r="14">
      <x:c r="A14" s="7" t="d">
        <x:v>2026-05-04T00:00:00.000Z</x:v>
      </x:c>
      <x:c r="B14" s="2" t="str">
        <x:v>May-26</x:v>
      </x:c>
      <x:c r="C14" s="2" t="str">
        <x:v>Subscription Revenue</x:v>
      </x:c>
      <x:c r="D14" s="2" t="str">
        <x:v>Revenue</x:v>
      </x:c>
      <x:c r="E14" s="2" t="n">
        <x:v>1</x:v>
      </x:c>
      <x:c r="F14" s="2" t="n">
        <x:v>1</x:v>
      </x:c>
      <x:c r="G14" s="2" t="str">
        <x:v>Revenue</x:v>
      </x:c>
      <x:c r="H14" s="2" t="str">
        <x:v>Enterprise MRR</x:v>
      </x:c>
      <x:c r="I14" s="8" t="n">
        <x:v>268974</x:v>
      </x:c>
    </x:row>
    <x:row r="15">
      <x:c r="A15" s="7" t="d">
        <x:v>2026-05-12T00:00:00.000Z</x:v>
      </x:c>
      <x:c r="B15" s="2" t="str">
        <x:v>May-26</x:v>
      </x:c>
      <x:c r="C15" s="2" t="str">
        <x:v>Subscription Revenue</x:v>
      </x:c>
      <x:c r="D15" s="2" t="str">
        <x:v>Revenue</x:v>
      </x:c>
      <x:c r="E15" s="2" t="n">
        <x:v>1</x:v>
      </x:c>
      <x:c r="F15" s="2" t="n">
        <x:v>1</x:v>
      </x:c>
      <x:c r="G15" s="2" t="str">
        <x:v>Revenue</x:v>
      </x:c>
      <x:c r="H15" s="2" t="str">
        <x:v>SMB MRR</x:v>
      </x:c>
      <x:c r="I15" s="8" t="n">
        <x:v>139468</x:v>
      </x:c>
    </x:row>
    <x:row r="16">
      <x:c r="A16" s="7" t="d">
        <x:v>2026-05-20T00:00:00.000Z</x:v>
      </x:c>
      <x:c r="B16" s="2" t="str">
        <x:v>May-26</x:v>
      </x:c>
      <x:c r="C16" s="2" t="str">
        <x:v>Subscription Revenue</x:v>
      </x:c>
      <x:c r="D16" s="2" t="str">
        <x:v>Revenue</x:v>
      </x:c>
      <x:c r="E16" s="2" t="n">
        <x:v>1</x:v>
      </x:c>
      <x:c r="F16" s="2" t="n">
        <x:v>1</x:v>
      </x:c>
      <x:c r="G16" s="2" t="str">
        <x:v>Revenue</x:v>
      </x:c>
      <x:c r="H16" s="2" t="str">
        <x:v>Annual prepay</x:v>
      </x:c>
      <x:c r="I16" s="8" t="n">
        <x:v>89658</x:v>
      </x:c>
    </x:row>
    <x:row r="17">
      <x:c r="A17" s="7" t="d">
        <x:v>2026-06-04T00:00:00.000Z</x:v>
      </x:c>
      <x:c r="B17" s="2" t="str">
        <x:v>Jun-26</x:v>
      </x:c>
      <x:c r="C17" s="2" t="str">
        <x:v>Subscription Revenue</x:v>
      </x:c>
      <x:c r="D17" s="2" t="str">
        <x:v>Revenue</x:v>
      </x:c>
      <x:c r="E17" s="2" t="n">
        <x:v>1</x:v>
      </x:c>
      <x:c r="F17" s="2" t="n">
        <x:v>1</x:v>
      </x:c>
      <x:c r="G17" s="2" t="str">
        <x:v>Revenue</x:v>
      </x:c>
      <x:c r="H17" s="2" t="str">
        <x:v>Enterprise MRR</x:v>
      </x:c>
      <x:c r="I17" s="8" t="n">
        <x:v>281394</x:v>
      </x:c>
    </x:row>
    <x:row r="18">
      <x:c r="A18" s="7" t="d">
        <x:v>2026-06-12T00:00:00.000Z</x:v>
      </x:c>
      <x:c r="B18" s="2" t="str">
        <x:v>Jun-26</x:v>
      </x:c>
      <x:c r="C18" s="2" t="str">
        <x:v>Subscription Revenue</x:v>
      </x:c>
      <x:c r="D18" s="2" t="str">
        <x:v>Revenue</x:v>
      </x:c>
      <x:c r="E18" s="2" t="n">
        <x:v>1</x:v>
      </x:c>
      <x:c r="F18" s="2" t="n">
        <x:v>1</x:v>
      </x:c>
      <x:c r="G18" s="2" t="str">
        <x:v>Revenue</x:v>
      </x:c>
      <x:c r="H18" s="2" t="str">
        <x:v>SMB MRR</x:v>
      </x:c>
      <x:c r="I18" s="8" t="n">
        <x:v>145908</x:v>
      </x:c>
    </x:row>
    <x:row r="19">
      <x:c r="A19" s="7" t="d">
        <x:v>2026-06-20T00:00:00.000Z</x:v>
      </x:c>
      <x:c r="B19" s="2" t="str">
        <x:v>Jun-26</x:v>
      </x:c>
      <x:c r="C19" s="2" t="str">
        <x:v>Subscription Revenue</x:v>
      </x:c>
      <x:c r="D19" s="2" t="str">
        <x:v>Revenue</x:v>
      </x:c>
      <x:c r="E19" s="2" t="n">
        <x:v>1</x:v>
      </x:c>
      <x:c r="F19" s="2" t="n">
        <x:v>1</x:v>
      </x:c>
      <x:c r="G19" s="2" t="str">
        <x:v>Revenue</x:v>
      </x:c>
      <x:c r="H19" s="2" t="str">
        <x:v>Annual prepay</x:v>
      </x:c>
      <x:c r="I19" s="8" t="n">
        <x:v>93798</x:v>
      </x:c>
    </x:row>
    <x:row r="20">
      <x:c r="A20" s="7" t="d">
        <x:v>2026-01-05T00:00:00.000Z</x:v>
      </x:c>
      <x:c r="B20" s="2" t="str">
        <x:v>Jan-26</x:v>
      </x:c>
      <x:c r="C20" s="2" t="str">
        <x:v>Usage Revenue</x:v>
      </x:c>
      <x:c r="D20" s="2" t="str">
        <x:v>Revenue</x:v>
      </x:c>
      <x:c r="E20" s="2" t="n">
        <x:v>1</x:v>
      </x:c>
      <x:c r="F20" s="2" t="n">
        <x:v>2</x:v>
      </x:c>
      <x:c r="G20" s="2" t="str">
        <x:v>Revenue</x:v>
      </x:c>
      <x:c r="H20" s="2" t="str">
        <x:v>Compute usage</x:v>
      </x:c>
      <x:c r="I20" s="8" t="n">
        <x:v>41040</x:v>
      </x:c>
    </x:row>
    <x:row r="21">
      <x:c r="A21" s="7" t="d">
        <x:v>2026-01-13T00:00:00.000Z</x:v>
      </x:c>
      <x:c r="B21" s="2" t="str">
        <x:v>Jan-26</x:v>
      </x:c>
      <x:c r="C21" s="2" t="str">
        <x:v>Usage Revenue</x:v>
      </x:c>
      <x:c r="D21" s="2" t="str">
        <x:v>Revenue</x:v>
      </x:c>
      <x:c r="E21" s="2" t="n">
        <x:v>1</x:v>
      </x:c>
      <x:c r="F21" s="2" t="n">
        <x:v>2</x:v>
      </x:c>
      <x:c r="G21" s="2" t="str">
        <x:v>Revenue</x:v>
      </x:c>
      <x:c r="H21" s="2" t="str">
        <x:v>Storage usage</x:v>
      </x:c>
      <x:c r="I21" s="8" t="n">
        <x:v>21280</x:v>
      </x:c>
    </x:row>
    <x:row r="22">
      <x:c r="A22" s="7" t="d">
        <x:v>2026-01-21T00:00:00.000Z</x:v>
      </x:c>
      <x:c r="B22" s="2" t="str">
        <x:v>Jan-26</x:v>
      </x:c>
      <x:c r="C22" s="2" t="str">
        <x:v>Usage Revenue</x:v>
      </x:c>
      <x:c r="D22" s="2" t="str">
        <x:v>Revenue</x:v>
      </x:c>
      <x:c r="E22" s="2" t="n">
        <x:v>1</x:v>
      </x:c>
      <x:c r="F22" s="2" t="n">
        <x:v>2</x:v>
      </x:c>
      <x:c r="G22" s="2" t="str">
        <x:v>Revenue</x:v>
      </x:c>
      <x:c r="H22" s="2" t="str">
        <x:v>Data transfer</x:v>
      </x:c>
      <x:c r="I22" s="8" t="n">
        <x:v>13680</x:v>
      </x:c>
    </x:row>
    <x:row r="23">
      <x:c r="A23" s="7" t="d">
        <x:v>2026-02-05T00:00:00.000Z</x:v>
      </x:c>
      <x:c r="B23" s="2" t="str">
        <x:v>Feb-26</x:v>
      </x:c>
      <x:c r="C23" s="2" t="str">
        <x:v>Usage Revenue</x:v>
      </x:c>
      <x:c r="D23" s="2" t="str">
        <x:v>Revenue</x:v>
      </x:c>
      <x:c r="E23" s="2" t="n">
        <x:v>1</x:v>
      </x:c>
      <x:c r="F23" s="2" t="n">
        <x:v>2</x:v>
      </x:c>
      <x:c r="G23" s="2" t="str">
        <x:v>Revenue</x:v>
      </x:c>
      <x:c r="H23" s="2" t="str">
        <x:v>Compute usage</x:v>
      </x:c>
      <x:c r="I23" s="8" t="n">
        <x:v>43686</x:v>
      </x:c>
    </x:row>
    <x:row r="24">
      <x:c r="A24" s="7" t="d">
        <x:v>2026-02-13T00:00:00.000Z</x:v>
      </x:c>
      <x:c r="B24" s="2" t="str">
        <x:v>Feb-26</x:v>
      </x:c>
      <x:c r="C24" s="2" t="str">
        <x:v>Usage Revenue</x:v>
      </x:c>
      <x:c r="D24" s="2" t="str">
        <x:v>Revenue</x:v>
      </x:c>
      <x:c r="E24" s="2" t="n">
        <x:v>1</x:v>
      </x:c>
      <x:c r="F24" s="2" t="n">
        <x:v>2</x:v>
      </x:c>
      <x:c r="G24" s="2" t="str">
        <x:v>Revenue</x:v>
      </x:c>
      <x:c r="H24" s="2" t="str">
        <x:v>Storage usage</x:v>
      </x:c>
      <x:c r="I24" s="8" t="n">
        <x:v>22652</x:v>
      </x:c>
    </x:row>
    <x:row r="25">
      <x:c r="A25" s="7" t="d">
        <x:v>2026-02-21T00:00:00.000Z</x:v>
      </x:c>
      <x:c r="B25" s="2" t="str">
        <x:v>Feb-26</x:v>
      </x:c>
      <x:c r="C25" s="2" t="str">
        <x:v>Usage Revenue</x:v>
      </x:c>
      <x:c r="D25" s="2" t="str">
        <x:v>Revenue</x:v>
      </x:c>
      <x:c r="E25" s="2" t="n">
        <x:v>1</x:v>
      </x:c>
      <x:c r="F25" s="2" t="n">
        <x:v>2</x:v>
      </x:c>
      <x:c r="G25" s="2" t="str">
        <x:v>Revenue</x:v>
      </x:c>
      <x:c r="H25" s="2" t="str">
        <x:v>Data transfer</x:v>
      </x:c>
      <x:c r="I25" s="8" t="n">
        <x:v>14562</x:v>
      </x:c>
    </x:row>
    <x:row r="26">
      <x:c r="A26" s="7" t="d">
        <x:v>2026-03-05T00:00:00.000Z</x:v>
      </x:c>
      <x:c r="B26" s="2" t="str">
        <x:v>Mar-26</x:v>
      </x:c>
      <x:c r="C26" s="2" t="str">
        <x:v>Usage Revenue</x:v>
      </x:c>
      <x:c r="D26" s="2" t="str">
        <x:v>Revenue</x:v>
      </x:c>
      <x:c r="E26" s="2" t="n">
        <x:v>1</x:v>
      </x:c>
      <x:c r="F26" s="2" t="n">
        <x:v>2</x:v>
      </x:c>
      <x:c r="G26" s="2" t="str">
        <x:v>Revenue</x:v>
      </x:c>
      <x:c r="H26" s="2" t="str">
        <x:v>Compute usage</x:v>
      </x:c>
      <x:c r="I26" s="8" t="n">
        <x:v>52380</x:v>
      </x:c>
    </x:row>
    <x:row r="27">
      <x:c r="A27" s="7" t="d">
        <x:v>2026-03-13T00:00:00.000Z</x:v>
      </x:c>
      <x:c r="B27" s="2" t="str">
        <x:v>Mar-26</x:v>
      </x:c>
      <x:c r="C27" s="2" t="str">
        <x:v>Usage Revenue</x:v>
      </x:c>
      <x:c r="D27" s="2" t="str">
        <x:v>Revenue</x:v>
      </x:c>
      <x:c r="E27" s="2" t="n">
        <x:v>1</x:v>
      </x:c>
      <x:c r="F27" s="2" t="n">
        <x:v>2</x:v>
      </x:c>
      <x:c r="G27" s="2" t="str">
        <x:v>Revenue</x:v>
      </x:c>
      <x:c r="H27" s="2" t="str">
        <x:v>Storage usage</x:v>
      </x:c>
      <x:c r="I27" s="8" t="n">
        <x:v>27160</x:v>
      </x:c>
    </x:row>
    <x:row r="28">
      <x:c r="A28" s="7" t="d">
        <x:v>2026-03-21T00:00:00.000Z</x:v>
      </x:c>
      <x:c r="B28" s="2" t="str">
        <x:v>Mar-26</x:v>
      </x:c>
      <x:c r="C28" s="2" t="str">
        <x:v>Usage Revenue</x:v>
      </x:c>
      <x:c r="D28" s="2" t="str">
        <x:v>Revenue</x:v>
      </x:c>
      <x:c r="E28" s="2" t="n">
        <x:v>1</x:v>
      </x:c>
      <x:c r="F28" s="2" t="n">
        <x:v>2</x:v>
      </x:c>
      <x:c r="G28" s="2" t="str">
        <x:v>Revenue</x:v>
      </x:c>
      <x:c r="H28" s="2" t="str">
        <x:v>Data transfer</x:v>
      </x:c>
      <x:c r="I28" s="8" t="n">
        <x:v>17460</x:v>
      </x:c>
    </x:row>
    <x:row r="29">
      <x:c r="A29" s="7" t="d">
        <x:v>2026-04-05T00:00:00.000Z</x:v>
      </x:c>
      <x:c r="B29" s="2" t="str">
        <x:v>Apr-26</x:v>
      </x:c>
      <x:c r="C29" s="2" t="str">
        <x:v>Usage Revenue</x:v>
      </x:c>
      <x:c r="D29" s="2" t="str">
        <x:v>Revenue</x:v>
      </x:c>
      <x:c r="E29" s="2" t="n">
        <x:v>1</x:v>
      </x:c>
      <x:c r="F29" s="2" t="n">
        <x:v>2</x:v>
      </x:c>
      <x:c r="G29" s="2" t="str">
        <x:v>Revenue</x:v>
      </x:c>
      <x:c r="H29" s="2" t="str">
        <x:v>Compute usage</x:v>
      </x:c>
      <x:c r="I29" s="8" t="n">
        <x:v>52434</x:v>
      </x:c>
    </x:row>
    <x:row r="30">
      <x:c r="A30" s="7" t="d">
        <x:v>2026-04-13T00:00:00.000Z</x:v>
      </x:c>
      <x:c r="B30" s="2" t="str">
        <x:v>Apr-26</x:v>
      </x:c>
      <x:c r="C30" s="2" t="str">
        <x:v>Usage Revenue</x:v>
      </x:c>
      <x:c r="D30" s="2" t="str">
        <x:v>Revenue</x:v>
      </x:c>
      <x:c r="E30" s="2" t="n">
        <x:v>1</x:v>
      </x:c>
      <x:c r="F30" s="2" t="n">
        <x:v>2</x:v>
      </x:c>
      <x:c r="G30" s="2" t="str">
        <x:v>Revenue</x:v>
      </x:c>
      <x:c r="H30" s="2" t="str">
        <x:v>Storage usage</x:v>
      </x:c>
      <x:c r="I30" s="8" t="n">
        <x:v>27188</x:v>
      </x:c>
    </x:row>
    <x:row r="31">
      <x:c r="A31" s="7" t="d">
        <x:v>2026-04-21T00:00:00.000Z</x:v>
      </x:c>
      <x:c r="B31" s="2" t="str">
        <x:v>Apr-26</x:v>
      </x:c>
      <x:c r="C31" s="2" t="str">
        <x:v>Usage Revenue</x:v>
      </x:c>
      <x:c r="D31" s="2" t="str">
        <x:v>Revenue</x:v>
      </x:c>
      <x:c r="E31" s="2" t="n">
        <x:v>1</x:v>
      </x:c>
      <x:c r="F31" s="2" t="n">
        <x:v>2</x:v>
      </x:c>
      <x:c r="G31" s="2" t="str">
        <x:v>Revenue</x:v>
      </x:c>
      <x:c r="H31" s="2" t="str">
        <x:v>Data transfer</x:v>
      </x:c>
      <x:c r="I31" s="8" t="n">
        <x:v>17478</x:v>
      </x:c>
    </x:row>
    <x:row r="32">
      <x:c r="A32" s="7" t="d">
        <x:v>2026-05-05T00:00:00.000Z</x:v>
      </x:c>
      <x:c r="B32" s="2" t="str">
        <x:v>May-26</x:v>
      </x:c>
      <x:c r="C32" s="2" t="str">
        <x:v>Usage Revenue</x:v>
      </x:c>
      <x:c r="D32" s="2" t="str">
        <x:v>Revenue</x:v>
      </x:c>
      <x:c r="E32" s="2" t="n">
        <x:v>1</x:v>
      </x:c>
      <x:c r="F32" s="2" t="n">
        <x:v>2</x:v>
      </x:c>
      <x:c r="G32" s="2" t="str">
        <x:v>Revenue</x:v>
      </x:c>
      <x:c r="H32" s="2" t="str">
        <x:v>Compute usage</x:v>
      </x:c>
      <x:c r="I32" s="8" t="n">
        <x:v>62262</x:v>
      </x:c>
    </x:row>
    <x:row r="33">
      <x:c r="A33" s="7" t="d">
        <x:v>2026-05-13T00:00:00.000Z</x:v>
      </x:c>
      <x:c r="B33" s="2" t="str">
        <x:v>May-26</x:v>
      </x:c>
      <x:c r="C33" s="2" t="str">
        <x:v>Usage Revenue</x:v>
      </x:c>
      <x:c r="D33" s="2" t="str">
        <x:v>Revenue</x:v>
      </x:c>
      <x:c r="E33" s="2" t="n">
        <x:v>1</x:v>
      </x:c>
      <x:c r="F33" s="2" t="n">
        <x:v>2</x:v>
      </x:c>
      <x:c r="G33" s="2" t="str">
        <x:v>Revenue</x:v>
      </x:c>
      <x:c r="H33" s="2" t="str">
        <x:v>Storage usage</x:v>
      </x:c>
      <x:c r="I33" s="8" t="n">
        <x:v>32284</x:v>
      </x:c>
    </x:row>
    <x:row r="34">
      <x:c r="A34" s="7" t="d">
        <x:v>2026-05-21T00:00:00.000Z</x:v>
      </x:c>
      <x:c r="B34" s="2" t="str">
        <x:v>May-26</x:v>
      </x:c>
      <x:c r="C34" s="2" t="str">
        <x:v>Usage Revenue</x:v>
      </x:c>
      <x:c r="D34" s="2" t="str">
        <x:v>Revenue</x:v>
      </x:c>
      <x:c r="E34" s="2" t="n">
        <x:v>1</x:v>
      </x:c>
      <x:c r="F34" s="2" t="n">
        <x:v>2</x:v>
      </x:c>
      <x:c r="G34" s="2" t="str">
        <x:v>Revenue</x:v>
      </x:c>
      <x:c r="H34" s="2" t="str">
        <x:v>Data transfer</x:v>
      </x:c>
      <x:c r="I34" s="8" t="n">
        <x:v>20754</x:v>
      </x:c>
    </x:row>
    <x:row r="35">
      <x:c r="A35" s="7" t="d">
        <x:v>2026-06-05T00:00:00.000Z</x:v>
      </x:c>
      <x:c r="B35" s="2" t="str">
        <x:v>Jun-26</x:v>
      </x:c>
      <x:c r="C35" s="2" t="str">
        <x:v>Usage Revenue</x:v>
      </x:c>
      <x:c r="D35" s="2" t="str">
        <x:v>Revenue</x:v>
      </x:c>
      <x:c r="E35" s="2" t="n">
        <x:v>1</x:v>
      </x:c>
      <x:c r="F35" s="2" t="n">
        <x:v>2</x:v>
      </x:c>
      <x:c r="G35" s="2" t="str">
        <x:v>Revenue</x:v>
      </x:c>
      <x:c r="H35" s="2" t="str">
        <x:v>Compute usage</x:v>
      </x:c>
      <x:c r="I35" s="8" t="n">
        <x:v>69174</x:v>
      </x:c>
    </x:row>
    <x:row r="36">
      <x:c r="A36" s="7" t="d">
        <x:v>2026-06-13T00:00:00.000Z</x:v>
      </x:c>
      <x:c r="B36" s="2" t="str">
        <x:v>Jun-26</x:v>
      </x:c>
      <x:c r="C36" s="2" t="str">
        <x:v>Usage Revenue</x:v>
      </x:c>
      <x:c r="D36" s="2" t="str">
        <x:v>Revenue</x:v>
      </x:c>
      <x:c r="E36" s="2" t="n">
        <x:v>1</x:v>
      </x:c>
      <x:c r="F36" s="2" t="n">
        <x:v>2</x:v>
      </x:c>
      <x:c r="G36" s="2" t="str">
        <x:v>Revenue</x:v>
      </x:c>
      <x:c r="H36" s="2" t="str">
        <x:v>Storage usage</x:v>
      </x:c>
      <x:c r="I36" s="8" t="n">
        <x:v>35868</x:v>
      </x:c>
    </x:row>
    <x:row r="37">
      <x:c r="A37" s="7" t="d">
        <x:v>2026-06-21T00:00:00.000Z</x:v>
      </x:c>
      <x:c r="B37" s="2" t="str">
        <x:v>Jun-26</x:v>
      </x:c>
      <x:c r="C37" s="2" t="str">
        <x:v>Usage Revenue</x:v>
      </x:c>
      <x:c r="D37" s="2" t="str">
        <x:v>Revenue</x:v>
      </x:c>
      <x:c r="E37" s="2" t="n">
        <x:v>1</x:v>
      </x:c>
      <x:c r="F37" s="2" t="n">
        <x:v>2</x:v>
      </x:c>
      <x:c r="G37" s="2" t="str">
        <x:v>Revenue</x:v>
      </x:c>
      <x:c r="H37" s="2" t="str">
        <x:v>Data transfer</x:v>
      </x:c>
      <x:c r="I37" s="8" t="n">
        <x:v>23058</x:v>
      </x:c>
    </x:row>
    <x:row r="38">
      <x:c r="A38" s="7" t="d">
        <x:v>2026-01-03T00:00:00.000Z</x:v>
      </x:c>
      <x:c r="B38" s="2" t="str">
        <x:v>Jan-26</x:v>
      </x:c>
      <x:c r="C38" s="2" t="str">
        <x:v>Professional Services Rev</x:v>
      </x:c>
      <x:c r="D38" s="2" t="str">
        <x:v>Revenue</x:v>
      </x:c>
      <x:c r="E38" s="2" t="n">
        <x:v>1</x:v>
      </x:c>
      <x:c r="F38" s="2" t="n">
        <x:v>3</x:v>
      </x:c>
      <x:c r="G38" s="2" t="str">
        <x:v>Services</x:v>
      </x:c>
      <x:c r="H38" s="2" t="str">
        <x:v>Implementation</x:v>
      </x:c>
      <x:c r="I38" s="8" t="n">
        <x:v>37820</x:v>
      </x:c>
    </x:row>
    <x:row r="39">
      <x:c r="A39" s="7" t="d">
        <x:v>2026-01-11T00:00:00.000Z</x:v>
      </x:c>
      <x:c r="B39" s="2" t="str">
        <x:v>Jan-26</x:v>
      </x:c>
      <x:c r="C39" s="2" t="str">
        <x:v>Professional Services Rev</x:v>
      </x:c>
      <x:c r="D39" s="2" t="str">
        <x:v>Revenue</x:v>
      </x:c>
      <x:c r="E39" s="2" t="n">
        <x:v>1</x:v>
      </x:c>
      <x:c r="F39" s="2" t="n">
        <x:v>3</x:v>
      </x:c>
      <x:c r="G39" s="2" t="str">
        <x:v>Services</x:v>
      </x:c>
      <x:c r="H39" s="2" t="str">
        <x:v>Advisory</x:v>
      </x:c>
      <x:c r="I39" s="8" t="n">
        <x:v>24180</x:v>
      </x:c>
    </x:row>
    <x:row r="40">
      <x:c r="A40" s="7" t="d">
        <x:v>2026-02-03T00:00:00.000Z</x:v>
      </x:c>
      <x:c r="B40" s="2" t="str">
        <x:v>Feb-26</x:v>
      </x:c>
      <x:c r="C40" s="2" t="str">
        <x:v>Professional Services Rev</x:v>
      </x:c>
      <x:c r="D40" s="2" t="str">
        <x:v>Revenue</x:v>
      </x:c>
      <x:c r="E40" s="2" t="n">
        <x:v>1</x:v>
      </x:c>
      <x:c r="F40" s="2" t="n">
        <x:v>3</x:v>
      </x:c>
      <x:c r="G40" s="2" t="str">
        <x:v>Services</x:v>
      </x:c>
      <x:c r="H40" s="2" t="str">
        <x:v>Implementation</x:v>
      </x:c>
      <x:c r="I40" s="8" t="n">
        <x:v>43310</x:v>
      </x:c>
    </x:row>
    <x:row r="41">
      <x:c r="A41" s="7" t="d">
        <x:v>2026-02-11T00:00:00.000Z</x:v>
      </x:c>
      <x:c r="B41" s="2" t="str">
        <x:v>Feb-26</x:v>
      </x:c>
      <x:c r="C41" s="2" t="str">
        <x:v>Professional Services Rev</x:v>
      </x:c>
      <x:c r="D41" s="2" t="str">
        <x:v>Revenue</x:v>
      </x:c>
      <x:c r="E41" s="2" t="n">
        <x:v>1</x:v>
      </x:c>
      <x:c r="F41" s="2" t="n">
        <x:v>3</x:v>
      </x:c>
      <x:c r="G41" s="2" t="str">
        <x:v>Services</x:v>
      </x:c>
      <x:c r="H41" s="2" t="str">
        <x:v>Advisory</x:v>
      </x:c>
      <x:c r="I41" s="8" t="n">
        <x:v>27690</x:v>
      </x:c>
    </x:row>
    <x:row r="42">
      <x:c r="A42" s="7" t="d">
        <x:v>2026-03-03T00:00:00.000Z</x:v>
      </x:c>
      <x:c r="B42" s="2" t="str">
        <x:v>Mar-26</x:v>
      </x:c>
      <x:c r="C42" s="2" t="str">
        <x:v>Professional Services Rev</x:v>
      </x:c>
      <x:c r="D42" s="2" t="str">
        <x:v>Revenue</x:v>
      </x:c>
      <x:c r="E42" s="2" t="n">
        <x:v>1</x:v>
      </x:c>
      <x:c r="F42" s="2" t="n">
        <x:v>3</x:v>
      </x:c>
      <x:c r="G42" s="2" t="str">
        <x:v>Services</x:v>
      </x:c>
      <x:c r="H42" s="2" t="str">
        <x:v>Implementation</x:v>
      </x:c>
      <x:c r="I42" s="8" t="n">
        <x:v>35990</x:v>
      </x:c>
    </x:row>
    <x:row r="43">
      <x:c r="A43" s="7" t="d">
        <x:v>2026-03-11T00:00:00.000Z</x:v>
      </x:c>
      <x:c r="B43" s="2" t="str">
        <x:v>Mar-26</x:v>
      </x:c>
      <x:c r="C43" s="2" t="str">
        <x:v>Professional Services Rev</x:v>
      </x:c>
      <x:c r="D43" s="2" t="str">
        <x:v>Revenue</x:v>
      </x:c>
      <x:c r="E43" s="2" t="n">
        <x:v>1</x:v>
      </x:c>
      <x:c r="F43" s="2" t="n">
        <x:v>3</x:v>
      </x:c>
      <x:c r="G43" s="2" t="str">
        <x:v>Services</x:v>
      </x:c>
      <x:c r="H43" s="2" t="str">
        <x:v>Advisory</x:v>
      </x:c>
      <x:c r="I43" s="8" t="n">
        <x:v>23010</x:v>
      </x:c>
    </x:row>
    <x:row r="44">
      <x:c r="A44" s="7" t="d">
        <x:v>2026-04-03T00:00:00.000Z</x:v>
      </x:c>
      <x:c r="B44" s="2" t="str">
        <x:v>Apr-26</x:v>
      </x:c>
      <x:c r="C44" s="2" t="str">
        <x:v>Professional Services Rev</x:v>
      </x:c>
      <x:c r="D44" s="2" t="str">
        <x:v>Revenue</x:v>
      </x:c>
      <x:c r="E44" s="2" t="n">
        <x:v>1</x:v>
      </x:c>
      <x:c r="F44" s="2" t="n">
        <x:v>3</x:v>
      </x:c>
      <x:c r="G44" s="2" t="str">
        <x:v>Services</x:v>
      </x:c>
      <x:c r="H44" s="2" t="str">
        <x:v>Implementation</x:v>
      </x:c>
      <x:c r="I44" s="8" t="n">
        <x:v>51240</x:v>
      </x:c>
    </x:row>
    <x:row r="45">
      <x:c r="A45" s="7" t="d">
        <x:v>2026-04-11T00:00:00.000Z</x:v>
      </x:c>
      <x:c r="B45" s="2" t="str">
        <x:v>Apr-26</x:v>
      </x:c>
      <x:c r="C45" s="2" t="str">
        <x:v>Professional Services Rev</x:v>
      </x:c>
      <x:c r="D45" s="2" t="str">
        <x:v>Revenue</x:v>
      </x:c>
      <x:c r="E45" s="2" t="n">
        <x:v>1</x:v>
      </x:c>
      <x:c r="F45" s="2" t="n">
        <x:v>3</x:v>
      </x:c>
      <x:c r="G45" s="2" t="str">
        <x:v>Services</x:v>
      </x:c>
      <x:c r="H45" s="2" t="str">
        <x:v>Advisory</x:v>
      </x:c>
      <x:c r="I45" s="8" t="n">
        <x:v>32760</x:v>
      </x:c>
    </x:row>
    <x:row r="46">
      <x:c r="A46" s="7" t="d">
        <x:v>2026-05-03T00:00:00.000Z</x:v>
      </x:c>
      <x:c r="B46" s="2" t="str">
        <x:v>May-26</x:v>
      </x:c>
      <x:c r="C46" s="2" t="str">
        <x:v>Professional Services Rev</x:v>
      </x:c>
      <x:c r="D46" s="2" t="str">
        <x:v>Revenue</x:v>
      </x:c>
      <x:c r="E46" s="2" t="n">
        <x:v>1</x:v>
      </x:c>
      <x:c r="F46" s="2" t="n">
        <x:v>3</x:v>
      </x:c>
      <x:c r="G46" s="2" t="str">
        <x:v>Services</x:v>
      </x:c>
      <x:c r="H46" s="2" t="str">
        <x:v>Implementation</x:v>
      </x:c>
      <x:c r="I46" s="8" t="n">
        <x:v>42090</x:v>
      </x:c>
    </x:row>
    <x:row r="47">
      <x:c r="A47" s="7" t="d">
        <x:v>2026-05-11T00:00:00.000Z</x:v>
      </x:c>
      <x:c r="B47" s="2" t="str">
        <x:v>May-26</x:v>
      </x:c>
      <x:c r="C47" s="2" t="str">
        <x:v>Professional Services Rev</x:v>
      </x:c>
      <x:c r="D47" s="2" t="str">
        <x:v>Revenue</x:v>
      </x:c>
      <x:c r="E47" s="2" t="n">
        <x:v>1</x:v>
      </x:c>
      <x:c r="F47" s="2" t="n">
        <x:v>3</x:v>
      </x:c>
      <x:c r="G47" s="2" t="str">
        <x:v>Services</x:v>
      </x:c>
      <x:c r="H47" s="2" t="str">
        <x:v>Advisory</x:v>
      </x:c>
      <x:c r="I47" s="8" t="n">
        <x:v>26910</x:v>
      </x:c>
    </x:row>
    <x:row r="48">
      <x:c r="A48" s="7" t="d">
        <x:v>2026-06-03T00:00:00.000Z</x:v>
      </x:c>
      <x:c r="B48" s="2" t="str">
        <x:v>Jun-26</x:v>
      </x:c>
      <x:c r="C48" s="2" t="str">
        <x:v>Professional Services Rev</x:v>
      </x:c>
      <x:c r="D48" s="2" t="str">
        <x:v>Revenue</x:v>
      </x:c>
      <x:c r="E48" s="2" t="n">
        <x:v>1</x:v>
      </x:c>
      <x:c r="F48" s="2" t="n">
        <x:v>3</x:v>
      </x:c>
      <x:c r="G48" s="2" t="str">
        <x:v>Services</x:v>
      </x:c>
      <x:c r="H48" s="2" t="str">
        <x:v>Implementation</x:v>
      </x:c>
      <x:c r="I48" s="8" t="n">
        <x:v>58560</x:v>
      </x:c>
    </x:row>
    <x:row r="49">
      <x:c r="A49" s="7" t="d">
        <x:v>2026-06-11T00:00:00.000Z</x:v>
      </x:c>
      <x:c r="B49" s="2" t="str">
        <x:v>Jun-26</x:v>
      </x:c>
      <x:c r="C49" s="2" t="str">
        <x:v>Professional Services Rev</x:v>
      </x:c>
      <x:c r="D49" s="2" t="str">
        <x:v>Revenue</x:v>
      </x:c>
      <x:c r="E49" s="2" t="n">
        <x:v>1</x:v>
      </x:c>
      <x:c r="F49" s="2" t="n">
        <x:v>3</x:v>
      </x:c>
      <x:c r="G49" s="2" t="str">
        <x:v>Services</x:v>
      </x:c>
      <x:c r="H49" s="2" t="str">
        <x:v>Advisory</x:v>
      </x:c>
      <x:c r="I49" s="8" t="n">
        <x:v>37440</x:v>
      </x:c>
    </x:row>
    <x:row r="50">
      <x:c r="A50" s="7" t="d">
        <x:v>2026-01-04T00:00:00.000Z</x:v>
      </x:c>
      <x:c r="B50" s="2" t="str">
        <x:v>Jan-26</x:v>
      </x:c>
      <x:c r="C50" s="2" t="str">
        <x:v>Hosting &amp; Infrastructure</x:v>
      </x:c>
      <x:c r="D50" s="2" t="str">
        <x:v>Cost of Revenue</x:v>
      </x:c>
      <x:c r="E50" s="2" t="n">
        <x:v>2</x:v>
      </x:c>
      <x:c r="F50" s="2" t="n">
        <x:v>4</x:v>
      </x:c>
      <x:c r="G50" s="2" t="str">
        <x:v>Engineering</x:v>
      </x:c>
      <x:c r="H50" s="2" t="str">
        <x:v>Cloud compute</x:v>
      </x:c>
      <x:c r="I50" s="8" t="n">
        <x:v>27540</x:v>
      </x:c>
    </x:row>
    <x:row r="51">
      <x:c r="A51" s="7" t="d">
        <x:v>2026-01-12T00:00:00.000Z</x:v>
      </x:c>
      <x:c r="B51" s="2" t="str">
        <x:v>Jan-26</x:v>
      </x:c>
      <x:c r="C51" s="2" t="str">
        <x:v>Hosting &amp; Infrastructure</x:v>
      </x:c>
      <x:c r="D51" s="2" t="str">
        <x:v>Cost of Revenue</x:v>
      </x:c>
      <x:c r="E51" s="2" t="n">
        <x:v>2</x:v>
      </x:c>
      <x:c r="F51" s="2" t="n">
        <x:v>4</x:v>
      </x:c>
      <x:c r="G51" s="2" t="str">
        <x:v>Engineering</x:v>
      </x:c>
      <x:c r="H51" s="2" t="str">
        <x:v>CDN</x:v>
      </x:c>
      <x:c r="I51" s="8" t="n">
        <x:v>14280</x:v>
      </x:c>
    </x:row>
    <x:row r="52">
      <x:c r="A52" s="7" t="d">
        <x:v>2026-01-20T00:00:00.000Z</x:v>
      </x:c>
      <x:c r="B52" s="2" t="str">
        <x:v>Jan-26</x:v>
      </x:c>
      <x:c r="C52" s="2" t="str">
        <x:v>Hosting &amp; Infrastructure</x:v>
      </x:c>
      <x:c r="D52" s="2" t="str">
        <x:v>Cost of Revenue</x:v>
      </x:c>
      <x:c r="E52" s="2" t="n">
        <x:v>2</x:v>
      </x:c>
      <x:c r="F52" s="2" t="n">
        <x:v>4</x:v>
      </x:c>
      <x:c r="G52" s="2" t="str">
        <x:v>Engineering</x:v>
      </x:c>
      <x:c r="H52" s="2" t="str">
        <x:v>Observability</x:v>
      </x:c>
      <x:c r="I52" s="8" t="n">
        <x:v>9180</x:v>
      </x:c>
    </x:row>
    <x:row r="53">
      <x:c r="A53" s="7" t="d">
        <x:v>2026-02-04T00:00:00.000Z</x:v>
      </x:c>
      <x:c r="B53" s="2" t="str">
        <x:v>Feb-26</x:v>
      </x:c>
      <x:c r="C53" s="2" t="str">
        <x:v>Hosting &amp; Infrastructure</x:v>
      </x:c>
      <x:c r="D53" s="2" t="str">
        <x:v>Cost of Revenue</x:v>
      </x:c>
      <x:c r="E53" s="2" t="n">
        <x:v>2</x:v>
      </x:c>
      <x:c r="F53" s="2" t="n">
        <x:v>4</x:v>
      </x:c>
      <x:c r="G53" s="2" t="str">
        <x:v>Engineering</x:v>
      </x:c>
      <x:c r="H53" s="2" t="str">
        <x:v>Cloud compute</x:v>
      </x:c>
      <x:c r="I53" s="8" t="n">
        <x:v>28917</x:v>
      </x:c>
    </x:row>
    <x:row r="54">
      <x:c r="A54" s="7" t="d">
        <x:v>2026-02-12T00:00:00.000Z</x:v>
      </x:c>
      <x:c r="B54" s="2" t="str">
        <x:v>Feb-26</x:v>
      </x:c>
      <x:c r="C54" s="2" t="str">
        <x:v>Hosting &amp; Infrastructure</x:v>
      </x:c>
      <x:c r="D54" s="2" t="str">
        <x:v>Cost of Revenue</x:v>
      </x:c>
      <x:c r="E54" s="2" t="n">
        <x:v>2</x:v>
      </x:c>
      <x:c r="F54" s="2" t="n">
        <x:v>4</x:v>
      </x:c>
      <x:c r="G54" s="2" t="str">
        <x:v>Engineering</x:v>
      </x:c>
      <x:c r="H54" s="2" t="str">
        <x:v>CDN</x:v>
      </x:c>
      <x:c r="I54" s="8" t="n">
        <x:v>14994</x:v>
      </x:c>
    </x:row>
    <x:row r="55">
      <x:c r="A55" s="7" t="d">
        <x:v>2026-02-20T00:00:00.000Z</x:v>
      </x:c>
      <x:c r="B55" s="2" t="str">
        <x:v>Feb-26</x:v>
      </x:c>
      <x:c r="C55" s="2" t="str">
        <x:v>Hosting &amp; Infrastructure</x:v>
      </x:c>
      <x:c r="D55" s="2" t="str">
        <x:v>Cost of Revenue</x:v>
      </x:c>
      <x:c r="E55" s="2" t="n">
        <x:v>2</x:v>
      </x:c>
      <x:c r="F55" s="2" t="n">
        <x:v>4</x:v>
      </x:c>
      <x:c r="G55" s="2" t="str">
        <x:v>Engineering</x:v>
      </x:c>
      <x:c r="H55" s="2" t="str">
        <x:v>Observability</x:v>
      </x:c>
      <x:c r="I55" s="8" t="n">
        <x:v>9639</x:v>
      </x:c>
    </x:row>
    <x:row r="56">
      <x:c r="A56" s="7" t="d">
        <x:v>2026-03-04T00:00:00.000Z</x:v>
      </x:c>
      <x:c r="B56" s="2" t="str">
        <x:v>Mar-26</x:v>
      </x:c>
      <x:c r="C56" s="2" t="str">
        <x:v>Hosting &amp; Infrastructure</x:v>
      </x:c>
      <x:c r="D56" s="2" t="str">
        <x:v>Cost of Revenue</x:v>
      </x:c>
      <x:c r="E56" s="2" t="n">
        <x:v>2</x:v>
      </x:c>
      <x:c r="F56" s="2" t="n">
        <x:v>4</x:v>
      </x:c>
      <x:c r="G56" s="2" t="str">
        <x:v>Engineering</x:v>
      </x:c>
      <x:c r="H56" s="2" t="str">
        <x:v>Cloud compute</x:v>
      </x:c>
      <x:c r="I56" s="8" t="n">
        <x:v>29619</x:v>
      </x:c>
    </x:row>
    <x:row r="57">
      <x:c r="A57" s="7" t="d">
        <x:v>2026-03-12T00:00:00.000Z</x:v>
      </x:c>
      <x:c r="B57" s="2" t="str">
        <x:v>Mar-26</x:v>
      </x:c>
      <x:c r="C57" s="2" t="str">
        <x:v>Hosting &amp; Infrastructure</x:v>
      </x:c>
      <x:c r="D57" s="2" t="str">
        <x:v>Cost of Revenue</x:v>
      </x:c>
      <x:c r="E57" s="2" t="n">
        <x:v>2</x:v>
      </x:c>
      <x:c r="F57" s="2" t="n">
        <x:v>4</x:v>
      </x:c>
      <x:c r="G57" s="2" t="str">
        <x:v>Engineering</x:v>
      </x:c>
      <x:c r="H57" s="2" t="str">
        <x:v>CDN</x:v>
      </x:c>
      <x:c r="I57" s="8" t="n">
        <x:v>15358</x:v>
      </x:c>
    </x:row>
    <x:row r="58">
      <x:c r="A58" s="7" t="d">
        <x:v>2026-03-20T00:00:00.000Z</x:v>
      </x:c>
      <x:c r="B58" s="2" t="str">
        <x:v>Mar-26</x:v>
      </x:c>
      <x:c r="C58" s="2" t="str">
        <x:v>Hosting &amp; Infrastructure</x:v>
      </x:c>
      <x:c r="D58" s="2" t="str">
        <x:v>Cost of Revenue</x:v>
      </x:c>
      <x:c r="E58" s="2" t="n">
        <x:v>2</x:v>
      </x:c>
      <x:c r="F58" s="2" t="n">
        <x:v>4</x:v>
      </x:c>
      <x:c r="G58" s="2" t="str">
        <x:v>Engineering</x:v>
      </x:c>
      <x:c r="H58" s="2" t="str">
        <x:v>Observability</x:v>
      </x:c>
      <x:c r="I58" s="8" t="n">
        <x:v>9873</x:v>
      </x:c>
    </x:row>
    <x:row r="59">
      <x:c r="A59" s="7" t="d">
        <x:v>2026-04-04T00:00:00.000Z</x:v>
      </x:c>
      <x:c r="B59" s="2" t="str">
        <x:v>Apr-26</x:v>
      </x:c>
      <x:c r="C59" s="2" t="str">
        <x:v>Hosting &amp; Infrastructure</x:v>
      </x:c>
      <x:c r="D59" s="2" t="str">
        <x:v>Cost of Revenue</x:v>
      </x:c>
      <x:c r="E59" s="2" t="n">
        <x:v>2</x:v>
      </x:c>
      <x:c r="F59" s="2" t="n">
        <x:v>4</x:v>
      </x:c>
      <x:c r="G59" s="2" t="str">
        <x:v>Engineering</x:v>
      </x:c>
      <x:c r="H59" s="2" t="str">
        <x:v>Cloud compute</x:v>
      </x:c>
      <x:c r="I59" s="8" t="n">
        <x:v>31428</x:v>
      </x:c>
    </x:row>
    <x:row r="60">
      <x:c r="A60" s="7" t="d">
        <x:v>2026-04-12T00:00:00.000Z</x:v>
      </x:c>
      <x:c r="B60" s="2" t="str">
        <x:v>Apr-26</x:v>
      </x:c>
      <x:c r="C60" s="2" t="str">
        <x:v>Hosting &amp; Infrastructure</x:v>
      </x:c>
      <x:c r="D60" s="2" t="str">
        <x:v>Cost of Revenue</x:v>
      </x:c>
      <x:c r="E60" s="2" t="n">
        <x:v>2</x:v>
      </x:c>
      <x:c r="F60" s="2" t="n">
        <x:v>4</x:v>
      </x:c>
      <x:c r="G60" s="2" t="str">
        <x:v>Engineering</x:v>
      </x:c>
      <x:c r="H60" s="2" t="str">
        <x:v>CDN</x:v>
      </x:c>
      <x:c r="I60" s="8" t="n">
        <x:v>16296</x:v>
      </x:c>
    </x:row>
    <x:row r="61">
      <x:c r="A61" s="7" t="d">
        <x:v>2026-04-20T00:00:00.000Z</x:v>
      </x:c>
      <x:c r="B61" s="2" t="str">
        <x:v>Apr-26</x:v>
      </x:c>
      <x:c r="C61" s="2" t="str">
        <x:v>Hosting &amp; Infrastructure</x:v>
      </x:c>
      <x:c r="D61" s="2" t="str">
        <x:v>Cost of Revenue</x:v>
      </x:c>
      <x:c r="E61" s="2" t="n">
        <x:v>2</x:v>
      </x:c>
      <x:c r="F61" s="2" t="n">
        <x:v>4</x:v>
      </x:c>
      <x:c r="G61" s="2" t="str">
        <x:v>Engineering</x:v>
      </x:c>
      <x:c r="H61" s="2" t="str">
        <x:v>Observability</x:v>
      </x:c>
      <x:c r="I61" s="8" t="n">
        <x:v>10476</x:v>
      </x:c>
    </x:row>
    <x:row r="62">
      <x:c r="A62" s="7" t="d">
        <x:v>2026-05-04T00:00:00.000Z</x:v>
      </x:c>
      <x:c r="B62" s="2" t="str">
        <x:v>May-26</x:v>
      </x:c>
      <x:c r="C62" s="2" t="str">
        <x:v>Hosting &amp; Infrastructure</x:v>
      </x:c>
      <x:c r="D62" s="2" t="str">
        <x:v>Cost of Revenue</x:v>
      </x:c>
      <x:c r="E62" s="2" t="n">
        <x:v>2</x:v>
      </x:c>
      <x:c r="F62" s="2" t="n">
        <x:v>4</x:v>
      </x:c>
      <x:c r="G62" s="2" t="str">
        <x:v>Engineering</x:v>
      </x:c>
      <x:c r="H62" s="2" t="str">
        <x:v>Cloud compute</x:v>
      </x:c>
      <x:c r="I62" s="8" t="n">
        <x:v>31968</x:v>
      </x:c>
    </x:row>
    <x:row r="63">
      <x:c r="A63" s="7" t="d">
        <x:v>2026-05-12T00:00:00.000Z</x:v>
      </x:c>
      <x:c r="B63" s="2" t="str">
        <x:v>May-26</x:v>
      </x:c>
      <x:c r="C63" s="2" t="str">
        <x:v>Hosting &amp; Infrastructure</x:v>
      </x:c>
      <x:c r="D63" s="2" t="str">
        <x:v>Cost of Revenue</x:v>
      </x:c>
      <x:c r="E63" s="2" t="n">
        <x:v>2</x:v>
      </x:c>
      <x:c r="F63" s="2" t="n">
        <x:v>4</x:v>
      </x:c>
      <x:c r="G63" s="2" t="str">
        <x:v>Engineering</x:v>
      </x:c>
      <x:c r="H63" s="2" t="str">
        <x:v>CDN</x:v>
      </x:c>
      <x:c r="I63" s="8" t="n">
        <x:v>16576</x:v>
      </x:c>
    </x:row>
    <x:row r="64">
      <x:c r="A64" s="7" t="d">
        <x:v>2026-05-20T00:00:00.000Z</x:v>
      </x:c>
      <x:c r="B64" s="2" t="str">
        <x:v>May-26</x:v>
      </x:c>
      <x:c r="C64" s="2" t="str">
        <x:v>Hosting &amp; Infrastructure</x:v>
      </x:c>
      <x:c r="D64" s="2" t="str">
        <x:v>Cost of Revenue</x:v>
      </x:c>
      <x:c r="E64" s="2" t="n">
        <x:v>2</x:v>
      </x:c>
      <x:c r="F64" s="2" t="n">
        <x:v>4</x:v>
      </x:c>
      <x:c r="G64" s="2" t="str">
        <x:v>Engineering</x:v>
      </x:c>
      <x:c r="H64" s="2" t="str">
        <x:v>Observability</x:v>
      </x:c>
      <x:c r="I64" s="8" t="n">
        <x:v>10656</x:v>
      </x:c>
    </x:row>
    <x:row r="65">
      <x:c r="A65" s="7" t="d">
        <x:v>2026-06-04T00:00:00.000Z</x:v>
      </x:c>
      <x:c r="B65" s="2" t="str">
        <x:v>Jun-26</x:v>
      </x:c>
      <x:c r="C65" s="2" t="str">
        <x:v>Hosting &amp; Infrastructure</x:v>
      </x:c>
      <x:c r="D65" s="2" t="str">
        <x:v>Cost of Revenue</x:v>
      </x:c>
      <x:c r="E65" s="2" t="n">
        <x:v>2</x:v>
      </x:c>
      <x:c r="F65" s="2" t="n">
        <x:v>4</x:v>
      </x:c>
      <x:c r="G65" s="2" t="str">
        <x:v>Engineering</x:v>
      </x:c>
      <x:c r="H65" s="2" t="str">
        <x:v>Cloud compute</x:v>
      </x:c>
      <x:c r="I65" s="8" t="n">
        <x:v>33885</x:v>
      </x:c>
    </x:row>
    <x:row r="66">
      <x:c r="A66" s="7" t="d">
        <x:v>2026-06-12T00:00:00.000Z</x:v>
      </x:c>
      <x:c r="B66" s="2" t="str">
        <x:v>Jun-26</x:v>
      </x:c>
      <x:c r="C66" s="2" t="str">
        <x:v>Hosting &amp; Infrastructure</x:v>
      </x:c>
      <x:c r="D66" s="2" t="str">
        <x:v>Cost of Revenue</x:v>
      </x:c>
      <x:c r="E66" s="2" t="n">
        <x:v>2</x:v>
      </x:c>
      <x:c r="F66" s="2" t="n">
        <x:v>4</x:v>
      </x:c>
      <x:c r="G66" s="2" t="str">
        <x:v>Engineering</x:v>
      </x:c>
      <x:c r="H66" s="2" t="str">
        <x:v>CDN</x:v>
      </x:c>
      <x:c r="I66" s="8" t="n">
        <x:v>17570</x:v>
      </x:c>
    </x:row>
    <x:row r="67">
      <x:c r="A67" s="7" t="d">
        <x:v>2026-06-20T00:00:00.000Z</x:v>
      </x:c>
      <x:c r="B67" s="2" t="str">
        <x:v>Jun-26</x:v>
      </x:c>
      <x:c r="C67" s="2" t="str">
        <x:v>Hosting &amp; Infrastructure</x:v>
      </x:c>
      <x:c r="D67" s="2" t="str">
        <x:v>Cost of Revenue</x:v>
      </x:c>
      <x:c r="E67" s="2" t="n">
        <x:v>2</x:v>
      </x:c>
      <x:c r="F67" s="2" t="n">
        <x:v>4</x:v>
      </x:c>
      <x:c r="G67" s="2" t="str">
        <x:v>Engineering</x:v>
      </x:c>
      <x:c r="H67" s="2" t="str">
        <x:v>Observability</x:v>
      </x:c>
      <x:c r="I67" s="8" t="n">
        <x:v>11295</x:v>
      </x:c>
    </x:row>
    <x:row r="68">
      <x:c r="A68" s="7" t="d">
        <x:v>2026-01-05T00:00:00.000Z</x:v>
      </x:c>
      <x:c r="B68" s="2" t="str">
        <x:v>Jan-26</x:v>
      </x:c>
      <x:c r="C68" s="2" t="str">
        <x:v>Customer Support</x:v>
      </x:c>
      <x:c r="D68" s="2" t="str">
        <x:v>Cost of Revenue</x:v>
      </x:c>
      <x:c r="E68" s="2" t="n">
        <x:v>2</x:v>
      </x:c>
      <x:c r="F68" s="2" t="n">
        <x:v>5</x:v>
      </x:c>
      <x:c r="G68" s="2" t="str">
        <x:v>Support</x:v>
      </x:c>
      <x:c r="H68" s="2" t="str">
        <x:v>Support payroll</x:v>
      </x:c>
      <x:c r="I68" s="8" t="n">
        <x:v>20435</x:v>
      </x:c>
    </x:row>
    <x:row r="69">
      <x:c r="A69" s="7" t="d">
        <x:v>2026-01-13T00:00:00.000Z</x:v>
      </x:c>
      <x:c r="B69" s="2" t="str">
        <x:v>Jan-26</x:v>
      </x:c>
      <x:c r="C69" s="2" t="str">
        <x:v>Customer Support</x:v>
      </x:c>
      <x:c r="D69" s="2" t="str">
        <x:v>Cost of Revenue</x:v>
      </x:c>
      <x:c r="E69" s="2" t="n">
        <x:v>2</x:v>
      </x:c>
      <x:c r="F69" s="2" t="n">
        <x:v>5</x:v>
      </x:c>
      <x:c r="G69" s="2" t="str">
        <x:v>Support</x:v>
      </x:c>
      <x:c r="H69" s="2" t="str">
        <x:v>BPO partner</x:v>
      </x:c>
      <x:c r="I69" s="8" t="n">
        <x:v>13065</x:v>
      </x:c>
    </x:row>
    <x:row r="70">
      <x:c r="A70" s="7" t="d">
        <x:v>2026-02-05T00:00:00.000Z</x:v>
      </x:c>
      <x:c r="B70" s="2" t="str">
        <x:v>Feb-26</x:v>
      </x:c>
      <x:c r="C70" s="2" t="str">
        <x:v>Customer Support</x:v>
      </x:c>
      <x:c r="D70" s="2" t="str">
        <x:v>Cost of Revenue</x:v>
      </x:c>
      <x:c r="E70" s="2" t="n">
        <x:v>2</x:v>
      </x:c>
      <x:c r="F70" s="2" t="n">
        <x:v>5</x:v>
      </x:c>
      <x:c r="G70" s="2" t="str">
        <x:v>Support</x:v>
      </x:c>
      <x:c r="H70" s="2" t="str">
        <x:v>Support payroll</x:v>
      </x:c>
      <x:c r="I70" s="8" t="n">
        <x:v>21228</x:v>
      </x:c>
    </x:row>
    <x:row r="71">
      <x:c r="A71" s="7" t="d">
        <x:v>2026-02-13T00:00:00.000Z</x:v>
      </x:c>
      <x:c r="B71" s="2" t="str">
        <x:v>Feb-26</x:v>
      </x:c>
      <x:c r="C71" s="2" t="str">
        <x:v>Customer Support</x:v>
      </x:c>
      <x:c r="D71" s="2" t="str">
        <x:v>Cost of Revenue</x:v>
      </x:c>
      <x:c r="E71" s="2" t="n">
        <x:v>2</x:v>
      </x:c>
      <x:c r="F71" s="2" t="n">
        <x:v>5</x:v>
      </x:c>
      <x:c r="G71" s="2" t="str">
        <x:v>Support</x:v>
      </x:c>
      <x:c r="H71" s="2" t="str">
        <x:v>BPO partner</x:v>
      </x:c>
      <x:c r="I71" s="8" t="n">
        <x:v>13572</x:v>
      </x:c>
    </x:row>
    <x:row r="72">
      <x:c r="A72" s="7" t="d">
        <x:v>2026-03-05T00:00:00.000Z</x:v>
      </x:c>
      <x:c r="B72" s="2" t="str">
        <x:v>Mar-26</x:v>
      </x:c>
      <x:c r="C72" s="2" t="str">
        <x:v>Customer Support</x:v>
      </x:c>
      <x:c r="D72" s="2" t="str">
        <x:v>Cost of Revenue</x:v>
      </x:c>
      <x:c r="E72" s="2" t="n">
        <x:v>2</x:v>
      </x:c>
      <x:c r="F72" s="2" t="n">
        <x:v>5</x:v>
      </x:c>
      <x:c r="G72" s="2" t="str">
        <x:v>Support</x:v>
      </x:c>
      <x:c r="H72" s="2" t="str">
        <x:v>Support payroll</x:v>
      </x:c>
      <x:c r="I72" s="8" t="n">
        <x:v>21259</x:v>
      </x:c>
    </x:row>
    <x:row r="73">
      <x:c r="A73" s="7" t="d">
        <x:v>2026-03-13T00:00:00.000Z</x:v>
      </x:c>
      <x:c r="B73" s="2" t="str">
        <x:v>Mar-26</x:v>
      </x:c>
      <x:c r="C73" s="2" t="str">
        <x:v>Customer Support</x:v>
      </x:c>
      <x:c r="D73" s="2" t="str">
        <x:v>Cost of Revenue</x:v>
      </x:c>
      <x:c r="E73" s="2" t="n">
        <x:v>2</x:v>
      </x:c>
      <x:c r="F73" s="2" t="n">
        <x:v>5</x:v>
      </x:c>
      <x:c r="G73" s="2" t="str">
        <x:v>Support</x:v>
      </x:c>
      <x:c r="H73" s="2" t="str">
        <x:v>BPO partner</x:v>
      </x:c>
      <x:c r="I73" s="8" t="n">
        <x:v>13591</x:v>
      </x:c>
    </x:row>
    <x:row r="74">
      <x:c r="A74" s="7" t="d">
        <x:v>2026-04-05T00:00:00.000Z</x:v>
      </x:c>
      <x:c r="B74" s="2" t="str">
        <x:v>Apr-26</x:v>
      </x:c>
      <x:c r="C74" s="2" t="str">
        <x:v>Customer Support</x:v>
      </x:c>
      <x:c r="D74" s="2" t="str">
        <x:v>Cost of Revenue</x:v>
      </x:c>
      <x:c r="E74" s="2" t="n">
        <x:v>2</x:v>
      </x:c>
      <x:c r="F74" s="2" t="n">
        <x:v>5</x:v>
      </x:c>
      <x:c r="G74" s="2" t="str">
        <x:v>Support</x:v>
      </x:c>
      <x:c r="H74" s="2" t="str">
        <x:v>Support payroll</x:v>
      </x:c>
      <x:c r="I74" s="8" t="n">
        <x:v>22540</x:v>
      </x:c>
    </x:row>
    <x:row r="75">
      <x:c r="A75" s="7" t="d">
        <x:v>2026-04-13T00:00:00.000Z</x:v>
      </x:c>
      <x:c r="B75" s="2" t="str">
        <x:v>Apr-26</x:v>
      </x:c>
      <x:c r="C75" s="2" t="str">
        <x:v>Customer Support</x:v>
      </x:c>
      <x:c r="D75" s="2" t="str">
        <x:v>Cost of Revenue</x:v>
      </x:c>
      <x:c r="E75" s="2" t="n">
        <x:v>2</x:v>
      </x:c>
      <x:c r="F75" s="2" t="n">
        <x:v>5</x:v>
      </x:c>
      <x:c r="G75" s="2" t="str">
        <x:v>Support</x:v>
      </x:c>
      <x:c r="H75" s="2" t="str">
        <x:v>BPO partner</x:v>
      </x:c>
      <x:c r="I75" s="8" t="n">
        <x:v>14410</x:v>
      </x:c>
    </x:row>
    <x:row r="76">
      <x:c r="A76" s="7" t="d">
        <x:v>2026-05-05T00:00:00.000Z</x:v>
      </x:c>
      <x:c r="B76" s="2" t="str">
        <x:v>May-26</x:v>
      </x:c>
      <x:c r="C76" s="2" t="str">
        <x:v>Customer Support</x:v>
      </x:c>
      <x:c r="D76" s="2" t="str">
        <x:v>Cost of Revenue</x:v>
      </x:c>
      <x:c r="E76" s="2" t="n">
        <x:v>2</x:v>
      </x:c>
      <x:c r="F76" s="2" t="n">
        <x:v>5</x:v>
      </x:c>
      <x:c r="G76" s="2" t="str">
        <x:v>Support</x:v>
      </x:c>
      <x:c r="H76" s="2" t="str">
        <x:v>Support payroll</x:v>
      </x:c>
      <x:c r="I76" s="8" t="n">
        <x:v>22387</x:v>
      </x:c>
    </x:row>
    <x:row r="77">
      <x:c r="A77" s="7" t="d">
        <x:v>2026-05-13T00:00:00.000Z</x:v>
      </x:c>
      <x:c r="B77" s="2" t="str">
        <x:v>May-26</x:v>
      </x:c>
      <x:c r="C77" s="2" t="str">
        <x:v>Customer Support</x:v>
      </x:c>
      <x:c r="D77" s="2" t="str">
        <x:v>Cost of Revenue</x:v>
      </x:c>
      <x:c r="E77" s="2" t="n">
        <x:v>2</x:v>
      </x:c>
      <x:c r="F77" s="2" t="n">
        <x:v>5</x:v>
      </x:c>
      <x:c r="G77" s="2" t="str">
        <x:v>Support</x:v>
      </x:c>
      <x:c r="H77" s="2" t="str">
        <x:v>BPO partner</x:v>
      </x:c>
      <x:c r="I77" s="8" t="n">
        <x:v>14313</x:v>
      </x:c>
    </x:row>
    <x:row r="78">
      <x:c r="A78" s="7" t="d">
        <x:v>2026-06-05T00:00:00.000Z</x:v>
      </x:c>
      <x:c r="B78" s="2" t="str">
        <x:v>Jun-26</x:v>
      </x:c>
      <x:c r="C78" s="2" t="str">
        <x:v>Customer Support</x:v>
      </x:c>
      <x:c r="D78" s="2" t="str">
        <x:v>Cost of Revenue</x:v>
      </x:c>
      <x:c r="E78" s="2" t="n">
        <x:v>2</x:v>
      </x:c>
      <x:c r="F78" s="2" t="n">
        <x:v>5</x:v>
      </x:c>
      <x:c r="G78" s="2" t="str">
        <x:v>Support</x:v>
      </x:c>
      <x:c r="H78" s="2" t="str">
        <x:v>Support payroll</x:v>
      </x:c>
      <x:c r="I78" s="8" t="n">
        <x:v>23790</x:v>
      </x:c>
    </x:row>
    <x:row r="79">
      <x:c r="A79" s="7" t="d">
        <x:v>2026-06-13T00:00:00.000Z</x:v>
      </x:c>
      <x:c r="B79" s="2" t="str">
        <x:v>Jun-26</x:v>
      </x:c>
      <x:c r="C79" s="2" t="str">
        <x:v>Customer Support</x:v>
      </x:c>
      <x:c r="D79" s="2" t="str">
        <x:v>Cost of Revenue</x:v>
      </x:c>
      <x:c r="E79" s="2" t="n">
        <x:v>2</x:v>
      </x:c>
      <x:c r="F79" s="2" t="n">
        <x:v>5</x:v>
      </x:c>
      <x:c r="G79" s="2" t="str">
        <x:v>Support</x:v>
      </x:c>
      <x:c r="H79" s="2" t="str">
        <x:v>BPO partner</x:v>
      </x:c>
      <x:c r="I79" s="8" t="n">
        <x:v>15210</x:v>
      </x:c>
    </x:row>
    <x:row r="80">
      <x:c r="A80" s="7" t="d">
        <x:v>2026-01-03T00:00:00.000Z</x:v>
      </x:c>
      <x:c r="B80" s="2" t="str">
        <x:v>Jan-26</x:v>
      </x:c>
      <x:c r="C80" s="2" t="str">
        <x:v>Services Delivery</x:v>
      </x:c>
      <x:c r="D80" s="2" t="str">
        <x:v>Cost of Revenue</x:v>
      </x:c>
      <x:c r="E80" s="2" t="n">
        <x:v>2</x:v>
      </x:c>
      <x:c r="F80" s="2" t="n">
        <x:v>6</x:v>
      </x:c>
      <x:c r="G80" s="2" t="str">
        <x:v>Services</x:v>
      </x:c>
      <x:c r="H80" s="2" t="str">
        <x:v>Delivery payroll</x:v>
      </x:c>
      <x:c r="I80" s="8" t="n">
        <x:v>21960</x:v>
      </x:c>
    </x:row>
    <x:row r="81">
      <x:c r="A81" s="7" t="d">
        <x:v>2026-01-11T00:00:00.000Z</x:v>
      </x:c>
      <x:c r="B81" s="2" t="str">
        <x:v>Jan-26</x:v>
      </x:c>
      <x:c r="C81" s="2" t="str">
        <x:v>Services Delivery</x:v>
      </x:c>
      <x:c r="D81" s="2" t="str">
        <x:v>Cost of Revenue</x:v>
      </x:c>
      <x:c r="E81" s="2" t="n">
        <x:v>2</x:v>
      </x:c>
      <x:c r="F81" s="2" t="n">
        <x:v>6</x:v>
      </x:c>
      <x:c r="G81" s="2" t="str">
        <x:v>Services</x:v>
      </x:c>
      <x:c r="H81" s="2" t="str">
        <x:v>Specialists</x:v>
      </x:c>
      <x:c r="I81" s="8" t="n">
        <x:v>14040</x:v>
      </x:c>
    </x:row>
    <x:row r="82">
      <x:c r="A82" s="7" t="d">
        <x:v>2026-02-03T00:00:00.000Z</x:v>
      </x:c>
      <x:c r="B82" s="2" t="str">
        <x:v>Feb-26</x:v>
      </x:c>
      <x:c r="C82" s="2" t="str">
        <x:v>Services Delivery</x:v>
      </x:c>
      <x:c r="D82" s="2" t="str">
        <x:v>Cost of Revenue</x:v>
      </x:c>
      <x:c r="E82" s="2" t="n">
        <x:v>2</x:v>
      </x:c>
      <x:c r="F82" s="2" t="n">
        <x:v>6</x:v>
      </x:c>
      <x:c r="G82" s="2" t="str">
        <x:v>Services</x:v>
      </x:c>
      <x:c r="H82" s="2" t="str">
        <x:v>Delivery payroll</x:v>
      </x:c>
      <x:c r="I82" s="8" t="n">
        <x:v>24705</x:v>
      </x:c>
    </x:row>
    <x:row r="83">
      <x:c r="A83" s="7" t="d">
        <x:v>2026-02-11T00:00:00.000Z</x:v>
      </x:c>
      <x:c r="B83" s="2" t="str">
        <x:v>Feb-26</x:v>
      </x:c>
      <x:c r="C83" s="2" t="str">
        <x:v>Services Delivery</x:v>
      </x:c>
      <x:c r="D83" s="2" t="str">
        <x:v>Cost of Revenue</x:v>
      </x:c>
      <x:c r="E83" s="2" t="n">
        <x:v>2</x:v>
      </x:c>
      <x:c r="F83" s="2" t="n">
        <x:v>6</x:v>
      </x:c>
      <x:c r="G83" s="2" t="str">
        <x:v>Services</x:v>
      </x:c>
      <x:c r="H83" s="2" t="str">
        <x:v>Specialists</x:v>
      </x:c>
      <x:c r="I83" s="8" t="n">
        <x:v>15795</x:v>
      </x:c>
    </x:row>
    <x:row r="84">
      <x:c r="A84" s="7" t="d">
        <x:v>2026-03-03T00:00:00.000Z</x:v>
      </x:c>
      <x:c r="B84" s="2" t="str">
        <x:v>Mar-26</x:v>
      </x:c>
      <x:c r="C84" s="2" t="str">
        <x:v>Services Delivery</x:v>
      </x:c>
      <x:c r="D84" s="2" t="str">
        <x:v>Cost of Revenue</x:v>
      </x:c>
      <x:c r="E84" s="2" t="n">
        <x:v>2</x:v>
      </x:c>
      <x:c r="F84" s="2" t="n">
        <x:v>6</x:v>
      </x:c>
      <x:c r="G84" s="2" t="str">
        <x:v>Services</x:v>
      </x:c>
      <x:c r="H84" s="2" t="str">
        <x:v>Delivery payroll</x:v>
      </x:c>
      <x:c r="I84" s="8" t="n">
        <x:v>21350</x:v>
      </x:c>
    </x:row>
    <x:row r="85">
      <x:c r="A85" s="7" t="d">
        <x:v>2026-03-11T00:00:00.000Z</x:v>
      </x:c>
      <x:c r="B85" s="2" t="str">
        <x:v>Mar-26</x:v>
      </x:c>
      <x:c r="C85" s="2" t="str">
        <x:v>Services Delivery</x:v>
      </x:c>
      <x:c r="D85" s="2" t="str">
        <x:v>Cost of Revenue</x:v>
      </x:c>
      <x:c r="E85" s="2" t="n">
        <x:v>2</x:v>
      </x:c>
      <x:c r="F85" s="2" t="n">
        <x:v>6</x:v>
      </x:c>
      <x:c r="G85" s="2" t="str">
        <x:v>Services</x:v>
      </x:c>
      <x:c r="H85" s="2" t="str">
        <x:v>Specialists</x:v>
      </x:c>
      <x:c r="I85" s="8" t="n">
        <x:v>13650</x:v>
      </x:c>
    </x:row>
    <x:row r="86">
      <x:c r="A86" s="7" t="d">
        <x:v>2026-04-03T00:00:00.000Z</x:v>
      </x:c>
      <x:c r="B86" s="2" t="str">
        <x:v>Apr-26</x:v>
      </x:c>
      <x:c r="C86" s="2" t="str">
        <x:v>Services Delivery</x:v>
      </x:c>
      <x:c r="D86" s="2" t="str">
        <x:v>Cost of Revenue</x:v>
      </x:c>
      <x:c r="E86" s="2" t="n">
        <x:v>2</x:v>
      </x:c>
      <x:c r="F86" s="2" t="n">
        <x:v>6</x:v>
      </x:c>
      <x:c r="G86" s="2" t="str">
        <x:v>Services</x:v>
      </x:c>
      <x:c r="H86" s="2" t="str">
        <x:v>Delivery payroll</x:v>
      </x:c>
      <x:c r="I86" s="8" t="n">
        <x:v>28670</x:v>
      </x:c>
    </x:row>
    <x:row r="87">
      <x:c r="A87" s="7" t="d">
        <x:v>2026-04-11T00:00:00.000Z</x:v>
      </x:c>
      <x:c r="B87" s="2" t="str">
        <x:v>Apr-26</x:v>
      </x:c>
      <x:c r="C87" s="2" t="str">
        <x:v>Services Delivery</x:v>
      </x:c>
      <x:c r="D87" s="2" t="str">
        <x:v>Cost of Revenue</x:v>
      </x:c>
      <x:c r="E87" s="2" t="n">
        <x:v>2</x:v>
      </x:c>
      <x:c r="F87" s="2" t="n">
        <x:v>6</x:v>
      </x:c>
      <x:c r="G87" s="2" t="str">
        <x:v>Services</x:v>
      </x:c>
      <x:c r="H87" s="2" t="str">
        <x:v>Specialists</x:v>
      </x:c>
      <x:c r="I87" s="8" t="n">
        <x:v>18330</x:v>
      </x:c>
    </x:row>
    <x:row r="88">
      <x:c r="A88" s="7" t="d">
        <x:v>2026-05-03T00:00:00.000Z</x:v>
      </x:c>
      <x:c r="B88" s="2" t="str">
        <x:v>May-26</x:v>
      </x:c>
      <x:c r="C88" s="2" t="str">
        <x:v>Services Delivery</x:v>
      </x:c>
      <x:c r="D88" s="2" t="str">
        <x:v>Cost of Revenue</x:v>
      </x:c>
      <x:c r="E88" s="2" t="n">
        <x:v>2</x:v>
      </x:c>
      <x:c r="F88" s="2" t="n">
        <x:v>6</x:v>
      </x:c>
      <x:c r="G88" s="2" t="str">
        <x:v>Services</x:v>
      </x:c>
      <x:c r="H88" s="2" t="str">
        <x:v>Delivery payroll</x:v>
      </x:c>
      <x:c r="I88" s="8" t="n">
        <x:v>23790</x:v>
      </x:c>
    </x:row>
    <x:row r="89">
      <x:c r="A89" s="7" t="d">
        <x:v>2026-05-11T00:00:00.000Z</x:v>
      </x:c>
      <x:c r="B89" s="2" t="str">
        <x:v>May-26</x:v>
      </x:c>
      <x:c r="C89" s="2" t="str">
        <x:v>Services Delivery</x:v>
      </x:c>
      <x:c r="D89" s="2" t="str">
        <x:v>Cost of Revenue</x:v>
      </x:c>
      <x:c r="E89" s="2" t="n">
        <x:v>2</x:v>
      </x:c>
      <x:c r="F89" s="2" t="n">
        <x:v>6</x:v>
      </x:c>
      <x:c r="G89" s="2" t="str">
        <x:v>Services</x:v>
      </x:c>
      <x:c r="H89" s="2" t="str">
        <x:v>Specialists</x:v>
      </x:c>
      <x:c r="I89" s="8" t="n">
        <x:v>15210</x:v>
      </x:c>
    </x:row>
    <x:row r="90">
      <x:c r="A90" s="7" t="d">
        <x:v>2026-06-03T00:00:00.000Z</x:v>
      </x:c>
      <x:c r="B90" s="2" t="str">
        <x:v>Jun-26</x:v>
      </x:c>
      <x:c r="C90" s="2" t="str">
        <x:v>Services Delivery</x:v>
      </x:c>
      <x:c r="D90" s="2" t="str">
        <x:v>Cost of Revenue</x:v>
      </x:c>
      <x:c r="E90" s="2" t="n">
        <x:v>2</x:v>
      </x:c>
      <x:c r="F90" s="2" t="n">
        <x:v>6</x:v>
      </x:c>
      <x:c r="G90" s="2" t="str">
        <x:v>Services</x:v>
      </x:c>
      <x:c r="H90" s="2" t="str">
        <x:v>Delivery payroll</x:v>
      </x:c>
      <x:c r="I90" s="8" t="n">
        <x:v>32330</x:v>
      </x:c>
    </x:row>
    <x:row r="91">
      <x:c r="A91" s="7" t="d">
        <x:v>2026-06-11T00:00:00.000Z</x:v>
      </x:c>
      <x:c r="B91" s="2" t="str">
        <x:v>Jun-26</x:v>
      </x:c>
      <x:c r="C91" s="2" t="str">
        <x:v>Services Delivery</x:v>
      </x:c>
      <x:c r="D91" s="2" t="str">
        <x:v>Cost of Revenue</x:v>
      </x:c>
      <x:c r="E91" s="2" t="n">
        <x:v>2</x:v>
      </x:c>
      <x:c r="F91" s="2" t="n">
        <x:v>6</x:v>
      </x:c>
      <x:c r="G91" s="2" t="str">
        <x:v>Services</x:v>
      </x:c>
      <x:c r="H91" s="2" t="str">
        <x:v>Specialists</x:v>
      </x:c>
      <x:c r="I91" s="8" t="n">
        <x:v>20670</x:v>
      </x:c>
    </x:row>
    <x:row r="92">
      <x:c r="A92" s="7" t="d">
        <x:v>2026-01-04T00:00:00.000Z</x:v>
      </x:c>
      <x:c r="B92" s="2" t="str">
        <x:v>Jan-26</x:v>
      </x:c>
      <x:c r="C92" s="2" t="str">
        <x:v>Sales &amp; Marketing</x:v>
      </x:c>
      <x:c r="D92" s="2" t="str">
        <x:v>Operating Expenses</x:v>
      </x:c>
      <x:c r="E92" s="2" t="n">
        <x:v>3</x:v>
      </x:c>
      <x:c r="F92" s="2" t="n">
        <x:v>7</x:v>
      </x:c>
      <x:c r="G92" s="2" t="str">
        <x:v>Go-to-Market</x:v>
      </x:c>
      <x:c r="H92" s="2" t="str">
        <x:v>Payroll</x:v>
      </x:c>
      <x:c r="I92" s="8" t="n">
        <x:v>85320</x:v>
      </x:c>
    </x:row>
    <x:row r="93">
      <x:c r="A93" s="7" t="d">
        <x:v>2026-01-12T00:00:00.000Z</x:v>
      </x:c>
      <x:c r="B93" s="2" t="str">
        <x:v>Jan-26</x:v>
      </x:c>
      <x:c r="C93" s="2" t="str">
        <x:v>Sales &amp; Marketing</x:v>
      </x:c>
      <x:c r="D93" s="2" t="str">
        <x:v>Operating Expenses</x:v>
      </x:c>
      <x:c r="E93" s="2" t="n">
        <x:v>3</x:v>
      </x:c>
      <x:c r="F93" s="2" t="n">
        <x:v>7</x:v>
      </x:c>
      <x:c r="G93" s="2" t="str">
        <x:v>Go-to-Market</x:v>
      </x:c>
      <x:c r="H93" s="2" t="str">
        <x:v>Campaigns</x:v>
      </x:c>
      <x:c r="I93" s="8" t="n">
        <x:v>44240</x:v>
      </x:c>
    </x:row>
    <x:row r="94">
      <x:c r="A94" s="7" t="d">
        <x:v>2026-01-20T00:00:00.000Z</x:v>
      </x:c>
      <x:c r="B94" s="2" t="str">
        <x:v>Jan-26</x:v>
      </x:c>
      <x:c r="C94" s="2" t="str">
        <x:v>Sales &amp; Marketing</x:v>
      </x:c>
      <x:c r="D94" s="2" t="str">
        <x:v>Operating Expenses</x:v>
      </x:c>
      <x:c r="E94" s="2" t="n">
        <x:v>3</x:v>
      </x:c>
      <x:c r="F94" s="2" t="n">
        <x:v>7</x:v>
      </x:c>
      <x:c r="G94" s="2" t="str">
        <x:v>Go-to-Market</x:v>
      </x:c>
      <x:c r="H94" s="2" t="str">
        <x:v>Events</x:v>
      </x:c>
      <x:c r="I94" s="8" t="n">
        <x:v>28440</x:v>
      </x:c>
    </x:row>
    <x:row r="95">
      <x:c r="A95" s="7" t="d">
        <x:v>2026-02-04T00:00:00.000Z</x:v>
      </x:c>
      <x:c r="B95" s="2" t="str">
        <x:v>Feb-26</x:v>
      </x:c>
      <x:c r="C95" s="2" t="str">
        <x:v>Sales &amp; Marketing</x:v>
      </x:c>
      <x:c r="D95" s="2" t="str">
        <x:v>Operating Expenses</x:v>
      </x:c>
      <x:c r="E95" s="2" t="n">
        <x:v>3</x:v>
      </x:c>
      <x:c r="F95" s="2" t="n">
        <x:v>7</x:v>
      </x:c>
      <x:c r="G95" s="2" t="str">
        <x:v>Go-to-Market</x:v>
      </x:c>
      <x:c r="H95" s="2" t="str">
        <x:v>Payroll</x:v>
      </x:c>
      <x:c r="I95" s="8" t="n">
        <x:v>88560</x:v>
      </x:c>
    </x:row>
    <x:row r="96">
      <x:c r="A96" s="7" t="d">
        <x:v>2026-02-12T00:00:00.000Z</x:v>
      </x:c>
      <x:c r="B96" s="2" t="str">
        <x:v>Feb-26</x:v>
      </x:c>
      <x:c r="C96" s="2" t="str">
        <x:v>Sales &amp; Marketing</x:v>
      </x:c>
      <x:c r="D96" s="2" t="str">
        <x:v>Operating Expenses</x:v>
      </x:c>
      <x:c r="E96" s="2" t="n">
        <x:v>3</x:v>
      </x:c>
      <x:c r="F96" s="2" t="n">
        <x:v>7</x:v>
      </x:c>
      <x:c r="G96" s="2" t="str">
        <x:v>Go-to-Market</x:v>
      </x:c>
      <x:c r="H96" s="2" t="str">
        <x:v>Campaigns</x:v>
      </x:c>
      <x:c r="I96" s="8" t="n">
        <x:v>45920</x:v>
      </x:c>
    </x:row>
    <x:row r="97">
      <x:c r="A97" s="7" t="d">
        <x:v>2026-02-20T00:00:00.000Z</x:v>
      </x:c>
      <x:c r="B97" s="2" t="str">
        <x:v>Feb-26</x:v>
      </x:c>
      <x:c r="C97" s="2" t="str">
        <x:v>Sales &amp; Marketing</x:v>
      </x:c>
      <x:c r="D97" s="2" t="str">
        <x:v>Operating Expenses</x:v>
      </x:c>
      <x:c r="E97" s="2" t="n">
        <x:v>3</x:v>
      </x:c>
      <x:c r="F97" s="2" t="n">
        <x:v>7</x:v>
      </x:c>
      <x:c r="G97" s="2" t="str">
        <x:v>Go-to-Market</x:v>
      </x:c>
      <x:c r="H97" s="2" t="str">
        <x:v>Events</x:v>
      </x:c>
      <x:c r="I97" s="8" t="n">
        <x:v>29520</x:v>
      </x:c>
    </x:row>
    <x:row r="98">
      <x:c r="A98" s="7" t="d">
        <x:v>2026-03-04T00:00:00.000Z</x:v>
      </x:c>
      <x:c r="B98" s="2" t="str">
        <x:v>Mar-26</x:v>
      </x:c>
      <x:c r="C98" s="2" t="str">
        <x:v>Sales &amp; Marketing</x:v>
      </x:c>
      <x:c r="D98" s="2" t="str">
        <x:v>Operating Expenses</x:v>
      </x:c>
      <x:c r="E98" s="2" t="n">
        <x:v>3</x:v>
      </x:c>
      <x:c r="F98" s="2" t="n">
        <x:v>7</x:v>
      </x:c>
      <x:c r="G98" s="2" t="str">
        <x:v>Go-to-Market</x:v>
      </x:c>
      <x:c r="H98" s="2" t="str">
        <x:v>Payroll</x:v>
      </x:c>
      <x:c r="I98" s="8" t="n">
        <x:v>92340</x:v>
      </x:c>
    </x:row>
    <x:row r="99">
      <x:c r="A99" s="7" t="d">
        <x:v>2026-03-12T00:00:00.000Z</x:v>
      </x:c>
      <x:c r="B99" s="2" t="str">
        <x:v>Mar-26</x:v>
      </x:c>
      <x:c r="C99" s="2" t="str">
        <x:v>Sales &amp; Marketing</x:v>
      </x:c>
      <x:c r="D99" s="2" t="str">
        <x:v>Operating Expenses</x:v>
      </x:c>
      <x:c r="E99" s="2" t="n">
        <x:v>3</x:v>
      </x:c>
      <x:c r="F99" s="2" t="n">
        <x:v>7</x:v>
      </x:c>
      <x:c r="G99" s="2" t="str">
        <x:v>Go-to-Market</x:v>
      </x:c>
      <x:c r="H99" s="2" t="str">
        <x:v>Campaigns</x:v>
      </x:c>
      <x:c r="I99" s="8" t="n">
        <x:v>47880</x:v>
      </x:c>
    </x:row>
    <x:row r="100">
      <x:c r="A100" s="7" t="d">
        <x:v>2026-03-20T00:00:00.000Z</x:v>
      </x:c>
      <x:c r="B100" s="2" t="str">
        <x:v>Mar-26</x:v>
      </x:c>
      <x:c r="C100" s="2" t="str">
        <x:v>Sales &amp; Marketing</x:v>
      </x:c>
      <x:c r="D100" s="2" t="str">
        <x:v>Operating Expenses</x:v>
      </x:c>
      <x:c r="E100" s="2" t="n">
        <x:v>3</x:v>
      </x:c>
      <x:c r="F100" s="2" t="n">
        <x:v>7</x:v>
      </x:c>
      <x:c r="G100" s="2" t="str">
        <x:v>Go-to-Market</x:v>
      </x:c>
      <x:c r="H100" s="2" t="str">
        <x:v>Events</x:v>
      </x:c>
      <x:c r="I100" s="8" t="n">
        <x:v>30780</x:v>
      </x:c>
    </x:row>
    <x:row r="101">
      <x:c r="A101" s="7" t="d">
        <x:v>2026-04-04T00:00:00.000Z</x:v>
      </x:c>
      <x:c r="B101" s="2" t="str">
        <x:v>Apr-26</x:v>
      </x:c>
      <x:c r="C101" s="2" t="str">
        <x:v>Sales &amp; Marketing</x:v>
      </x:c>
      <x:c r="D101" s="2" t="str">
        <x:v>Operating Expenses</x:v>
      </x:c>
      <x:c r="E101" s="2" t="n">
        <x:v>3</x:v>
      </x:c>
      <x:c r="F101" s="2" t="n">
        <x:v>7</x:v>
      </x:c>
      <x:c r="G101" s="2" t="str">
        <x:v>Go-to-Market</x:v>
      </x:c>
      <x:c r="H101" s="2" t="str">
        <x:v>Payroll</x:v>
      </x:c>
      <x:c r="I101" s="8" t="n">
        <x:v>90180</x:v>
      </x:c>
    </x:row>
    <x:row r="102">
      <x:c r="A102" s="7" t="d">
        <x:v>2026-04-12T00:00:00.000Z</x:v>
      </x:c>
      <x:c r="B102" s="2" t="str">
        <x:v>Apr-26</x:v>
      </x:c>
      <x:c r="C102" s="2" t="str">
        <x:v>Sales &amp; Marketing</x:v>
      </x:c>
      <x:c r="D102" s="2" t="str">
        <x:v>Operating Expenses</x:v>
      </x:c>
      <x:c r="E102" s="2" t="n">
        <x:v>3</x:v>
      </x:c>
      <x:c r="F102" s="2" t="n">
        <x:v>7</x:v>
      </x:c>
      <x:c r="G102" s="2" t="str">
        <x:v>Go-to-Market</x:v>
      </x:c>
      <x:c r="H102" s="2" t="str">
        <x:v>Campaigns</x:v>
      </x:c>
      <x:c r="I102" s="8" t="n">
        <x:v>46760</x:v>
      </x:c>
    </x:row>
    <x:row r="103">
      <x:c r="A103" s="7" t="d">
        <x:v>2026-04-20T00:00:00.000Z</x:v>
      </x:c>
      <x:c r="B103" s="2" t="str">
        <x:v>Apr-26</x:v>
      </x:c>
      <x:c r="C103" s="2" t="str">
        <x:v>Sales &amp; Marketing</x:v>
      </x:c>
      <x:c r="D103" s="2" t="str">
        <x:v>Operating Expenses</x:v>
      </x:c>
      <x:c r="E103" s="2" t="n">
        <x:v>3</x:v>
      </x:c>
      <x:c r="F103" s="2" t="n">
        <x:v>7</x:v>
      </x:c>
      <x:c r="G103" s="2" t="str">
        <x:v>Go-to-Market</x:v>
      </x:c>
      <x:c r="H103" s="2" t="str">
        <x:v>Events</x:v>
      </x:c>
      <x:c r="I103" s="8" t="n">
        <x:v>30060</x:v>
      </x:c>
    </x:row>
    <x:row r="104">
      <x:c r="A104" s="7" t="d">
        <x:v>2026-05-04T00:00:00.000Z</x:v>
      </x:c>
      <x:c r="B104" s="2" t="str">
        <x:v>May-26</x:v>
      </x:c>
      <x:c r="C104" s="2" t="str">
        <x:v>Sales &amp; Marketing</x:v>
      </x:c>
      <x:c r="D104" s="2" t="str">
        <x:v>Operating Expenses</x:v>
      </x:c>
      <x:c r="E104" s="2" t="n">
        <x:v>3</x:v>
      </x:c>
      <x:c r="F104" s="2" t="n">
        <x:v>7</x:v>
      </x:c>
      <x:c r="G104" s="2" t="str">
        <x:v>Go-to-Market</x:v>
      </x:c>
      <x:c r="H104" s="2" t="str">
        <x:v>Payroll</x:v>
      </x:c>
      <x:c r="I104" s="8" t="n">
        <x:v>96120</x:v>
      </x:c>
    </x:row>
    <x:row r="105">
      <x:c r="A105" s="7" t="d">
        <x:v>2026-05-12T00:00:00.000Z</x:v>
      </x:c>
      <x:c r="B105" s="2" t="str">
        <x:v>May-26</x:v>
      </x:c>
      <x:c r="C105" s="2" t="str">
        <x:v>Sales &amp; Marketing</x:v>
      </x:c>
      <x:c r="D105" s="2" t="str">
        <x:v>Operating Expenses</x:v>
      </x:c>
      <x:c r="E105" s="2" t="n">
        <x:v>3</x:v>
      </x:c>
      <x:c r="F105" s="2" t="n">
        <x:v>7</x:v>
      </x:c>
      <x:c r="G105" s="2" t="str">
        <x:v>Go-to-Market</x:v>
      </x:c>
      <x:c r="H105" s="2" t="str">
        <x:v>Campaigns</x:v>
      </x:c>
      <x:c r="I105" s="8" t="n">
        <x:v>49840</x:v>
      </x:c>
    </x:row>
    <x:row r="106">
      <x:c r="A106" s="7" t="d">
        <x:v>2026-05-20T00:00:00.000Z</x:v>
      </x:c>
      <x:c r="B106" s="2" t="str">
        <x:v>May-26</x:v>
      </x:c>
      <x:c r="C106" s="2" t="str">
        <x:v>Sales &amp; Marketing</x:v>
      </x:c>
      <x:c r="D106" s="2" t="str">
        <x:v>Operating Expenses</x:v>
      </x:c>
      <x:c r="E106" s="2" t="n">
        <x:v>3</x:v>
      </x:c>
      <x:c r="F106" s="2" t="n">
        <x:v>7</x:v>
      </x:c>
      <x:c r="G106" s="2" t="str">
        <x:v>Go-to-Market</x:v>
      </x:c>
      <x:c r="H106" s="2" t="str">
        <x:v>Events</x:v>
      </x:c>
      <x:c r="I106" s="8" t="n">
        <x:v>32040</x:v>
      </x:c>
    </x:row>
    <x:row r="107">
      <x:c r="A107" s="7" t="d">
        <x:v>2026-06-04T00:00:00.000Z</x:v>
      </x:c>
      <x:c r="B107" s="2" t="str">
        <x:v>Jun-26</x:v>
      </x:c>
      <x:c r="C107" s="2" t="str">
        <x:v>Sales &amp; Marketing</x:v>
      </x:c>
      <x:c r="D107" s="2" t="str">
        <x:v>Operating Expenses</x:v>
      </x:c>
      <x:c r="E107" s="2" t="n">
        <x:v>3</x:v>
      </x:c>
      <x:c r="F107" s="2" t="n">
        <x:v>7</x:v>
      </x:c>
      <x:c r="G107" s="2" t="str">
        <x:v>Go-to-Market</x:v>
      </x:c>
      <x:c r="H107" s="2" t="str">
        <x:v>Payroll</x:v>
      </x:c>
      <x:c r="I107" s="8" t="n">
        <x:v>100440</x:v>
      </x:c>
    </x:row>
    <x:row r="108">
      <x:c r="A108" s="7" t="d">
        <x:v>2026-06-12T00:00:00.000Z</x:v>
      </x:c>
      <x:c r="B108" s="2" t="str">
        <x:v>Jun-26</x:v>
      </x:c>
      <x:c r="C108" s="2" t="str">
        <x:v>Sales &amp; Marketing</x:v>
      </x:c>
      <x:c r="D108" s="2" t="str">
        <x:v>Operating Expenses</x:v>
      </x:c>
      <x:c r="E108" s="2" t="n">
        <x:v>3</x:v>
      </x:c>
      <x:c r="F108" s="2" t="n">
        <x:v>7</x:v>
      </x:c>
      <x:c r="G108" s="2" t="str">
        <x:v>Go-to-Market</x:v>
      </x:c>
      <x:c r="H108" s="2" t="str">
        <x:v>Campaigns</x:v>
      </x:c>
      <x:c r="I108" s="8" t="n">
        <x:v>52080</x:v>
      </x:c>
    </x:row>
    <x:row r="109">
      <x:c r="A109" s="7" t="d">
        <x:v>2026-06-20T00:00:00.000Z</x:v>
      </x:c>
      <x:c r="B109" s="2" t="str">
        <x:v>Jun-26</x:v>
      </x:c>
      <x:c r="C109" s="2" t="str">
        <x:v>Sales &amp; Marketing</x:v>
      </x:c>
      <x:c r="D109" s="2" t="str">
        <x:v>Operating Expenses</x:v>
      </x:c>
      <x:c r="E109" s="2" t="n">
        <x:v>3</x:v>
      </x:c>
      <x:c r="F109" s="2" t="n">
        <x:v>7</x:v>
      </x:c>
      <x:c r="G109" s="2" t="str">
        <x:v>Go-to-Market</x:v>
      </x:c>
      <x:c r="H109" s="2" t="str">
        <x:v>Events</x:v>
      </x:c>
      <x:c r="I109" s="8" t="n">
        <x:v>33480</x:v>
      </x:c>
    </x:row>
    <x:row r="110">
      <x:c r="A110" s="7" t="d">
        <x:v>2026-01-05T00:00:00.000Z</x:v>
      </x:c>
      <x:c r="B110" s="2" t="str">
        <x:v>Jan-26</x:v>
      </x:c>
      <x:c r="C110" s="2" t="str">
        <x:v>Research &amp; Development</x:v>
      </x:c>
      <x:c r="D110" s="2" t="str">
        <x:v>Operating Expenses</x:v>
      </x:c>
      <x:c r="E110" s="2" t="n">
        <x:v>3</x:v>
      </x:c>
      <x:c r="F110" s="2" t="n">
        <x:v>8</x:v>
      </x:c>
      <x:c r="G110" s="2" t="str">
        <x:v>Engineering</x:v>
      </x:c>
      <x:c r="H110" s="2" t="str">
        <x:v>Engineering payroll</x:v>
      </x:c>
      <x:c r="I110" s="8" t="n">
        <x:v>104920</x:v>
      </x:c>
    </x:row>
    <x:row r="111">
      <x:c r="A111" s="7" t="d">
        <x:v>2026-01-13T00:00:00.000Z</x:v>
      </x:c>
      <x:c r="B111" s="2" t="str">
        <x:v>Jan-26</x:v>
      </x:c>
      <x:c r="C111" s="2" t="str">
        <x:v>Research &amp; Development</x:v>
      </x:c>
      <x:c r="D111" s="2" t="str">
        <x:v>Operating Expenses</x:v>
      </x:c>
      <x:c r="E111" s="2" t="n">
        <x:v>3</x:v>
      </x:c>
      <x:c r="F111" s="2" t="n">
        <x:v>8</x:v>
      </x:c>
      <x:c r="G111" s="2" t="str">
        <x:v>Engineering</x:v>
      </x:c>
      <x:c r="H111" s="2" t="str">
        <x:v>Developer tools</x:v>
      </x:c>
      <x:c r="I111" s="8" t="n">
        <x:v>67080</x:v>
      </x:c>
    </x:row>
    <x:row r="112">
      <x:c r="A112" s="7" t="d">
        <x:v>2026-02-05T00:00:00.000Z</x:v>
      </x:c>
      <x:c r="B112" s="2" t="str">
        <x:v>Feb-26</x:v>
      </x:c>
      <x:c r="C112" s="2" t="str">
        <x:v>Research &amp; Development</x:v>
      </x:c>
      <x:c r="D112" s="2" t="str">
        <x:v>Operating Expenses</x:v>
      </x:c>
      <x:c r="E112" s="2" t="n">
        <x:v>3</x:v>
      </x:c>
      <x:c r="F112" s="2" t="n">
        <x:v>8</x:v>
      </x:c>
      <x:c r="G112" s="2" t="str">
        <x:v>Engineering</x:v>
      </x:c>
      <x:c r="H112" s="2" t="str">
        <x:v>Engineering payroll</x:v>
      </x:c>
      <x:c r="I112" s="8" t="n">
        <x:v>107696</x:v>
      </x:c>
    </x:row>
    <x:row r="113">
      <x:c r="A113" s="7" t="d">
        <x:v>2026-02-13T00:00:00.000Z</x:v>
      </x:c>
      <x:c r="B113" s="2" t="str">
        <x:v>Feb-26</x:v>
      </x:c>
      <x:c r="C113" s="2" t="str">
        <x:v>Research &amp; Development</x:v>
      </x:c>
      <x:c r="D113" s="2" t="str">
        <x:v>Operating Expenses</x:v>
      </x:c>
      <x:c r="E113" s="2" t="n">
        <x:v>3</x:v>
      </x:c>
      <x:c r="F113" s="2" t="n">
        <x:v>8</x:v>
      </x:c>
      <x:c r="G113" s="2" t="str">
        <x:v>Engineering</x:v>
      </x:c>
      <x:c r="H113" s="2" t="str">
        <x:v>Developer tools</x:v>
      </x:c>
      <x:c r="I113" s="8" t="n">
        <x:v>68854</x:v>
      </x:c>
    </x:row>
    <x:row r="114">
      <x:c r="A114" s="7" t="d">
        <x:v>2026-03-05T00:00:00.000Z</x:v>
      </x:c>
      <x:c r="B114" s="2" t="str">
        <x:v>Mar-26</x:v>
      </x:c>
      <x:c r="C114" s="2" t="str">
        <x:v>Research &amp; Development</x:v>
      </x:c>
      <x:c r="D114" s="2" t="str">
        <x:v>Operating Expenses</x:v>
      </x:c>
      <x:c r="E114" s="2" t="n">
        <x:v>3</x:v>
      </x:c>
      <x:c r="F114" s="2" t="n">
        <x:v>8</x:v>
      </x:c>
      <x:c r="G114" s="2" t="str">
        <x:v>Engineering</x:v>
      </x:c>
      <x:c r="H114" s="2" t="str">
        <x:v>Engineering payroll</x:v>
      </x:c>
      <x:c r="I114" s="8" t="n">
        <x:v>109709</x:v>
      </x:c>
    </x:row>
    <x:row r="115">
      <x:c r="A115" s="7" t="d">
        <x:v>2026-03-13T00:00:00.000Z</x:v>
      </x:c>
      <x:c r="B115" s="2" t="str">
        <x:v>Mar-26</x:v>
      </x:c>
      <x:c r="C115" s="2" t="str">
        <x:v>Research &amp; Development</x:v>
      </x:c>
      <x:c r="D115" s="2" t="str">
        <x:v>Operating Expenses</x:v>
      </x:c>
      <x:c r="E115" s="2" t="n">
        <x:v>3</x:v>
      </x:c>
      <x:c r="F115" s="2" t="n">
        <x:v>8</x:v>
      </x:c>
      <x:c r="G115" s="2" t="str">
        <x:v>Engineering</x:v>
      </x:c>
      <x:c r="H115" s="2" t="str">
        <x:v>Developer tools</x:v>
      </x:c>
      <x:c r="I115" s="8" t="n">
        <x:v>70141</x:v>
      </x:c>
    </x:row>
    <x:row r="116">
      <x:c r="A116" s="7" t="d">
        <x:v>2026-04-05T00:00:00.000Z</x:v>
      </x:c>
      <x:c r="B116" s="2" t="str">
        <x:v>Apr-26</x:v>
      </x:c>
      <x:c r="C116" s="2" t="str">
        <x:v>Research &amp; Development</x:v>
      </x:c>
      <x:c r="D116" s="2" t="str">
        <x:v>Operating Expenses</x:v>
      </x:c>
      <x:c r="E116" s="2" t="n">
        <x:v>3</x:v>
      </x:c>
      <x:c r="F116" s="2" t="n">
        <x:v>8</x:v>
      </x:c>
      <x:c r="G116" s="2" t="str">
        <x:v>Engineering</x:v>
      </x:c>
      <x:c r="H116" s="2" t="str">
        <x:v>Engineering payroll</x:v>
      </x:c>
      <x:c r="I116" s="8" t="n">
        <x:v>112972</x:v>
      </x:c>
    </x:row>
    <x:row r="117">
      <x:c r="A117" s="7" t="d">
        <x:v>2026-04-13T00:00:00.000Z</x:v>
      </x:c>
      <x:c r="B117" s="2" t="str">
        <x:v>Apr-26</x:v>
      </x:c>
      <x:c r="C117" s="2" t="str">
        <x:v>Research &amp; Development</x:v>
      </x:c>
      <x:c r="D117" s="2" t="str">
        <x:v>Operating Expenses</x:v>
      </x:c>
      <x:c r="E117" s="2" t="n">
        <x:v>3</x:v>
      </x:c>
      <x:c r="F117" s="2" t="n">
        <x:v>8</x:v>
      </x:c>
      <x:c r="G117" s="2" t="str">
        <x:v>Engineering</x:v>
      </x:c>
      <x:c r="H117" s="2" t="str">
        <x:v>Developer tools</x:v>
      </x:c>
      <x:c r="I117" s="8" t="n">
        <x:v>72228</x:v>
      </x:c>
    </x:row>
    <x:row r="118">
      <x:c r="A118" s="7" t="d">
        <x:v>2026-05-05T00:00:00.000Z</x:v>
      </x:c>
      <x:c r="B118" s="2" t="str">
        <x:v>May-26</x:v>
      </x:c>
      <x:c r="C118" s="2" t="str">
        <x:v>Research &amp; Development</x:v>
      </x:c>
      <x:c r="D118" s="2" t="str">
        <x:v>Operating Expenses</x:v>
      </x:c>
      <x:c r="E118" s="2" t="n">
        <x:v>3</x:v>
      </x:c>
      <x:c r="F118" s="2" t="n">
        <x:v>8</x:v>
      </x:c>
      <x:c r="G118" s="2" t="str">
        <x:v>Engineering</x:v>
      </x:c>
      <x:c r="H118" s="2" t="str">
        <x:v>Engineering payroll</x:v>
      </x:c>
      <x:c r="I118" s="8" t="n">
        <x:v>114802</x:v>
      </x:c>
    </x:row>
    <x:row r="119">
      <x:c r="A119" s="7" t="d">
        <x:v>2026-05-13T00:00:00.000Z</x:v>
      </x:c>
      <x:c r="B119" s="2" t="str">
        <x:v>May-26</x:v>
      </x:c>
      <x:c r="C119" s="2" t="str">
        <x:v>Research &amp; Development</x:v>
      </x:c>
      <x:c r="D119" s="2" t="str">
        <x:v>Operating Expenses</x:v>
      </x:c>
      <x:c r="E119" s="2" t="n">
        <x:v>3</x:v>
      </x:c>
      <x:c r="F119" s="2" t="n">
        <x:v>8</x:v>
      </x:c>
      <x:c r="G119" s="2" t="str">
        <x:v>Engineering</x:v>
      </x:c>
      <x:c r="H119" s="2" t="str">
        <x:v>Developer tools</x:v>
      </x:c>
      <x:c r="I119" s="8" t="n">
        <x:v>73398</x:v>
      </x:c>
    </x:row>
    <x:row r="120">
      <x:c r="A120" s="7" t="d">
        <x:v>2026-06-05T00:00:00.000Z</x:v>
      </x:c>
      <x:c r="B120" s="2" t="str">
        <x:v>Jun-26</x:v>
      </x:c>
      <x:c r="C120" s="2" t="str">
        <x:v>Research &amp; Development</x:v>
      </x:c>
      <x:c r="D120" s="2" t="str">
        <x:v>Operating Expenses</x:v>
      </x:c>
      <x:c r="E120" s="2" t="n">
        <x:v>3</x:v>
      </x:c>
      <x:c r="F120" s="2" t="n">
        <x:v>8</x:v>
      </x:c>
      <x:c r="G120" s="2" t="str">
        <x:v>Engineering</x:v>
      </x:c>
      <x:c r="H120" s="2" t="str">
        <x:v>Engineering payroll</x:v>
      </x:c>
      <x:c r="I120" s="8" t="n">
        <x:v>118188</x:v>
      </x:c>
    </x:row>
    <x:row r="121">
      <x:c r="A121" s="7" t="d">
        <x:v>2026-06-13T00:00:00.000Z</x:v>
      </x:c>
      <x:c r="B121" s="2" t="str">
        <x:v>Jun-26</x:v>
      </x:c>
      <x:c r="C121" s="2" t="str">
        <x:v>Research &amp; Development</x:v>
      </x:c>
      <x:c r="D121" s="2" t="str">
        <x:v>Operating Expenses</x:v>
      </x:c>
      <x:c r="E121" s="2" t="n">
        <x:v>3</x:v>
      </x:c>
      <x:c r="F121" s="2" t="n">
        <x:v>8</x:v>
      </x:c>
      <x:c r="G121" s="2" t="str">
        <x:v>Engineering</x:v>
      </x:c>
      <x:c r="H121" s="2" t="str">
        <x:v>Developer tools</x:v>
      </x:c>
      <x:c r="I121" s="8" t="n">
        <x:v>75562</x:v>
      </x:c>
    </x:row>
    <x:row r="122">
      <x:c r="A122" s="7" t="d">
        <x:v>2026-01-03T00:00:00.000Z</x:v>
      </x:c>
      <x:c r="B122" s="2" t="str">
        <x:v>Jan-26</x:v>
      </x:c>
      <x:c r="C122" s="2" t="str">
        <x:v>General &amp; Administrative</x:v>
      </x:c>
      <x:c r="D122" s="2" t="str">
        <x:v>Operating Expenses</x:v>
      </x:c>
      <x:c r="E122" s="2" t="n">
        <x:v>3</x:v>
      </x:c>
      <x:c r="F122" s="2" t="n">
        <x:v>9</x:v>
      </x:c>
      <x:c r="G122" s="2" t="str">
        <x:v>Corporate</x:v>
      </x:c>
      <x:c r="H122" s="2" t="str">
        <x:v>Payroll</x:v>
      </x:c>
      <x:c r="I122" s="8" t="n">
        <x:v>46710</x:v>
      </x:c>
    </x:row>
    <x:row r="123">
      <x:c r="A123" s="7" t="d">
        <x:v>2026-01-11T00:00:00.000Z</x:v>
      </x:c>
      <x:c r="B123" s="2" t="str">
        <x:v>Jan-26</x:v>
      </x:c>
      <x:c r="C123" s="2" t="str">
        <x:v>General &amp; Administrative</x:v>
      </x:c>
      <x:c r="D123" s="2" t="str">
        <x:v>Operating Expenses</x:v>
      </x:c>
      <x:c r="E123" s="2" t="n">
        <x:v>3</x:v>
      </x:c>
      <x:c r="F123" s="2" t="n">
        <x:v>9</x:v>
      </x:c>
      <x:c r="G123" s="2" t="str">
        <x:v>Corporate</x:v>
      </x:c>
      <x:c r="H123" s="2" t="str">
        <x:v>Facilities</x:v>
      </x:c>
      <x:c r="I123" s="8" t="n">
        <x:v>24220</x:v>
      </x:c>
    </x:row>
    <x:row r="124">
      <x:c r="A124" s="7" t="d">
        <x:v>2026-01-19T00:00:00.000Z</x:v>
      </x:c>
      <x:c r="B124" s="2" t="str">
        <x:v>Jan-26</x:v>
      </x:c>
      <x:c r="C124" s="2" t="str">
        <x:v>General &amp; Administrative</x:v>
      </x:c>
      <x:c r="D124" s="2" t="str">
        <x:v>Operating Expenses</x:v>
      </x:c>
      <x:c r="E124" s="2" t="n">
        <x:v>3</x:v>
      </x:c>
      <x:c r="F124" s="2" t="n">
        <x:v>9</x:v>
      </x:c>
      <x:c r="G124" s="2" t="str">
        <x:v>Corporate</x:v>
      </x:c>
      <x:c r="H124" s="2" t="str">
        <x:v>SaaS</x:v>
      </x:c>
      <x:c r="I124" s="8" t="n">
        <x:v>15570</x:v>
      </x:c>
    </x:row>
    <x:row r="125">
      <x:c r="A125" s="7" t="d">
        <x:v>2026-02-03T00:00:00.000Z</x:v>
      </x:c>
      <x:c r="B125" s="2" t="str">
        <x:v>Feb-26</x:v>
      </x:c>
      <x:c r="C125" s="2" t="str">
        <x:v>General &amp; Administrative</x:v>
      </x:c>
      <x:c r="D125" s="2" t="str">
        <x:v>Operating Expenses</x:v>
      </x:c>
      <x:c r="E125" s="2" t="n">
        <x:v>3</x:v>
      </x:c>
      <x:c r="F125" s="2" t="n">
        <x:v>9</x:v>
      </x:c>
      <x:c r="G125" s="2" t="str">
        <x:v>Corporate</x:v>
      </x:c>
      <x:c r="H125" s="2" t="str">
        <x:v>Payroll</x:v>
      </x:c>
      <x:c r="I125" s="8" t="n">
        <x:v>47763</x:v>
      </x:c>
    </x:row>
    <x:row r="126">
      <x:c r="A126" s="7" t="d">
        <x:v>2026-02-11T00:00:00.000Z</x:v>
      </x:c>
      <x:c r="B126" s="2" t="str">
        <x:v>Feb-26</x:v>
      </x:c>
      <x:c r="C126" s="2" t="str">
        <x:v>General &amp; Administrative</x:v>
      </x:c>
      <x:c r="D126" s="2" t="str">
        <x:v>Operating Expenses</x:v>
      </x:c>
      <x:c r="E126" s="2" t="n">
        <x:v>3</x:v>
      </x:c>
      <x:c r="F126" s="2" t="n">
        <x:v>9</x:v>
      </x:c>
      <x:c r="G126" s="2" t="str">
        <x:v>Corporate</x:v>
      </x:c>
      <x:c r="H126" s="2" t="str">
        <x:v>Facilities</x:v>
      </x:c>
      <x:c r="I126" s="8" t="n">
        <x:v>24766</x:v>
      </x:c>
    </x:row>
    <x:row r="127">
      <x:c r="A127" s="7" t="d">
        <x:v>2026-02-19T00:00:00.000Z</x:v>
      </x:c>
      <x:c r="B127" s="2" t="str">
        <x:v>Feb-26</x:v>
      </x:c>
      <x:c r="C127" s="2" t="str">
        <x:v>General &amp; Administrative</x:v>
      </x:c>
      <x:c r="D127" s="2" t="str">
        <x:v>Operating Expenses</x:v>
      </x:c>
      <x:c r="E127" s="2" t="n">
        <x:v>3</x:v>
      </x:c>
      <x:c r="F127" s="2" t="n">
        <x:v>9</x:v>
      </x:c>
      <x:c r="G127" s="2" t="str">
        <x:v>Corporate</x:v>
      </x:c>
      <x:c r="H127" s="2" t="str">
        <x:v>SaaS</x:v>
      </x:c>
      <x:c r="I127" s="8" t="n">
        <x:v>15921</x:v>
      </x:c>
    </x:row>
    <x:row r="128">
      <x:c r="A128" s="7" t="d">
        <x:v>2026-03-03T00:00:00.000Z</x:v>
      </x:c>
      <x:c r="B128" s="2" t="str">
        <x:v>Mar-26</x:v>
      </x:c>
      <x:c r="C128" s="2" t="str">
        <x:v>General &amp; Administrative</x:v>
      </x:c>
      <x:c r="D128" s="2" t="str">
        <x:v>Operating Expenses</x:v>
      </x:c>
      <x:c r="E128" s="2" t="n">
        <x:v>3</x:v>
      </x:c>
      <x:c r="F128" s="2" t="n">
        <x:v>9</x:v>
      </x:c>
      <x:c r="G128" s="2" t="str">
        <x:v>Corporate</x:v>
      </x:c>
      <x:c r="H128" s="2" t="str">
        <x:v>Payroll</x:v>
      </x:c>
      <x:c r="I128" s="8" t="n">
        <x:v>48141</x:v>
      </x:c>
    </x:row>
    <x:row r="129">
      <x:c r="A129" s="7" t="d">
        <x:v>2026-03-11T00:00:00.000Z</x:v>
      </x:c>
      <x:c r="B129" s="2" t="str">
        <x:v>Mar-26</x:v>
      </x:c>
      <x:c r="C129" s="2" t="str">
        <x:v>General &amp; Administrative</x:v>
      </x:c>
      <x:c r="D129" s="2" t="str">
        <x:v>Operating Expenses</x:v>
      </x:c>
      <x:c r="E129" s="2" t="n">
        <x:v>3</x:v>
      </x:c>
      <x:c r="F129" s="2" t="n">
        <x:v>9</x:v>
      </x:c>
      <x:c r="G129" s="2" t="str">
        <x:v>Corporate</x:v>
      </x:c>
      <x:c r="H129" s="2" t="str">
        <x:v>Facilities</x:v>
      </x:c>
      <x:c r="I129" s="8" t="n">
        <x:v>24962</x:v>
      </x:c>
    </x:row>
    <x:row r="130">
      <x:c r="A130" s="7" t="d">
        <x:v>2026-03-19T00:00:00.000Z</x:v>
      </x:c>
      <x:c r="B130" s="2" t="str">
        <x:v>Mar-26</x:v>
      </x:c>
      <x:c r="C130" s="2" t="str">
        <x:v>General &amp; Administrative</x:v>
      </x:c>
      <x:c r="D130" s="2" t="str">
        <x:v>Operating Expenses</x:v>
      </x:c>
      <x:c r="E130" s="2" t="n">
        <x:v>3</x:v>
      </x:c>
      <x:c r="F130" s="2" t="n">
        <x:v>9</x:v>
      </x:c>
      <x:c r="G130" s="2" t="str">
        <x:v>Corporate</x:v>
      </x:c>
      <x:c r="H130" s="2" t="str">
        <x:v>SaaS</x:v>
      </x:c>
      <x:c r="I130" s="8" t="n">
        <x:v>16047</x:v>
      </x:c>
    </x:row>
    <x:row r="131">
      <x:c r="A131" s="7" t="d">
        <x:v>2026-04-03T00:00:00.000Z</x:v>
      </x:c>
      <x:c r="B131" s="2" t="str">
        <x:v>Apr-26</x:v>
      </x:c>
      <x:c r="C131" s="2" t="str">
        <x:v>General &amp; Administrative</x:v>
      </x:c>
      <x:c r="D131" s="2" t="str">
        <x:v>Operating Expenses</x:v>
      </x:c>
      <x:c r="E131" s="2" t="n">
        <x:v>3</x:v>
      </x:c>
      <x:c r="F131" s="2" t="n">
        <x:v>9</x:v>
      </x:c>
      <x:c r="G131" s="2" t="str">
        <x:v>Corporate</x:v>
      </x:c>
      <x:c r="H131" s="2" t="str">
        <x:v>Payroll</x:v>
      </x:c>
      <x:c r="I131" s="8" t="n">
        <x:v>49626</x:v>
      </x:c>
    </x:row>
    <x:row r="132">
      <x:c r="A132" s="7" t="d">
        <x:v>2026-04-11T00:00:00.000Z</x:v>
      </x:c>
      <x:c r="B132" s="2" t="str">
        <x:v>Apr-26</x:v>
      </x:c>
      <x:c r="C132" s="2" t="str">
        <x:v>General &amp; Administrative</x:v>
      </x:c>
      <x:c r="D132" s="2" t="str">
        <x:v>Operating Expenses</x:v>
      </x:c>
      <x:c r="E132" s="2" t="n">
        <x:v>3</x:v>
      </x:c>
      <x:c r="F132" s="2" t="n">
        <x:v>9</x:v>
      </x:c>
      <x:c r="G132" s="2" t="str">
        <x:v>Corporate</x:v>
      </x:c>
      <x:c r="H132" s="2" t="str">
        <x:v>Facilities</x:v>
      </x:c>
      <x:c r="I132" s="8" t="n">
        <x:v>25732</x:v>
      </x:c>
    </x:row>
    <x:row r="133">
      <x:c r="A133" s="7" t="d">
        <x:v>2026-04-19T00:00:00.000Z</x:v>
      </x:c>
      <x:c r="B133" s="2" t="str">
        <x:v>Apr-26</x:v>
      </x:c>
      <x:c r="C133" s="2" t="str">
        <x:v>General &amp; Administrative</x:v>
      </x:c>
      <x:c r="D133" s="2" t="str">
        <x:v>Operating Expenses</x:v>
      </x:c>
      <x:c r="E133" s="2" t="n">
        <x:v>3</x:v>
      </x:c>
      <x:c r="F133" s="2" t="n">
        <x:v>9</x:v>
      </x:c>
      <x:c r="G133" s="2" t="str">
        <x:v>Corporate</x:v>
      </x:c>
      <x:c r="H133" s="2" t="str">
        <x:v>SaaS</x:v>
      </x:c>
      <x:c r="I133" s="8" t="n">
        <x:v>16542</x:v>
      </x:c>
    </x:row>
    <x:row r="134">
      <x:c r="A134" s="7" t="d">
        <x:v>2026-05-03T00:00:00.000Z</x:v>
      </x:c>
      <x:c r="B134" s="2" t="str">
        <x:v>May-26</x:v>
      </x:c>
      <x:c r="C134" s="2" t="str">
        <x:v>General &amp; Administrative</x:v>
      </x:c>
      <x:c r="D134" s="2" t="str">
        <x:v>Operating Expenses</x:v>
      </x:c>
      <x:c r="E134" s="2" t="n">
        <x:v>3</x:v>
      </x:c>
      <x:c r="F134" s="2" t="n">
        <x:v>9</x:v>
      </x:c>
      <x:c r="G134" s="2" t="str">
        <x:v>Corporate</x:v>
      </x:c>
      <x:c r="H134" s="2" t="str">
        <x:v>Payroll</x:v>
      </x:c>
      <x:c r="I134" s="8" t="n">
        <x:v>49842</x:v>
      </x:c>
    </x:row>
    <x:row r="135">
      <x:c r="A135" s="7" t="d">
        <x:v>2026-05-11T00:00:00.000Z</x:v>
      </x:c>
      <x:c r="B135" s="2" t="str">
        <x:v>May-26</x:v>
      </x:c>
      <x:c r="C135" s="2" t="str">
        <x:v>General &amp; Administrative</x:v>
      </x:c>
      <x:c r="D135" s="2" t="str">
        <x:v>Operating Expenses</x:v>
      </x:c>
      <x:c r="E135" s="2" t="n">
        <x:v>3</x:v>
      </x:c>
      <x:c r="F135" s="2" t="n">
        <x:v>9</x:v>
      </x:c>
      <x:c r="G135" s="2" t="str">
        <x:v>Corporate</x:v>
      </x:c>
      <x:c r="H135" s="2" t="str">
        <x:v>Facilities</x:v>
      </x:c>
      <x:c r="I135" s="8" t="n">
        <x:v>25844</x:v>
      </x:c>
    </x:row>
    <x:row r="136">
      <x:c r="A136" s="7" t="d">
        <x:v>2026-05-19T00:00:00.000Z</x:v>
      </x:c>
      <x:c r="B136" s="2" t="str">
        <x:v>May-26</x:v>
      </x:c>
      <x:c r="C136" s="2" t="str">
        <x:v>General &amp; Administrative</x:v>
      </x:c>
      <x:c r="D136" s="2" t="str">
        <x:v>Operating Expenses</x:v>
      </x:c>
      <x:c r="E136" s="2" t="n">
        <x:v>3</x:v>
      </x:c>
      <x:c r="F136" s="2" t="n">
        <x:v>9</x:v>
      </x:c>
      <x:c r="G136" s="2" t="str">
        <x:v>Corporate</x:v>
      </x:c>
      <x:c r="H136" s="2" t="str">
        <x:v>SaaS</x:v>
      </x:c>
      <x:c r="I136" s="8" t="n">
        <x:v>16614</x:v>
      </x:c>
    </x:row>
    <x:row r="137">
      <x:c r="A137" s="7" t="d">
        <x:v>2026-06-03T00:00:00.000Z</x:v>
      </x:c>
      <x:c r="B137" s="2" t="str">
        <x:v>Jun-26</x:v>
      </x:c>
      <x:c r="C137" s="2" t="str">
        <x:v>General &amp; Administrative</x:v>
      </x:c>
      <x:c r="D137" s="2" t="str">
        <x:v>Operating Expenses</x:v>
      </x:c>
      <x:c r="E137" s="2" t="n">
        <x:v>3</x:v>
      </x:c>
      <x:c r="F137" s="2" t="n">
        <x:v>9</x:v>
      </x:c>
      <x:c r="G137" s="2" t="str">
        <x:v>Corporate</x:v>
      </x:c>
      <x:c r="H137" s="2" t="str">
        <x:v>Payroll</x:v>
      </x:c>
      <x:c r="I137" s="8" t="n">
        <x:v>51435</x:v>
      </x:c>
    </x:row>
    <x:row r="138">
      <x:c r="A138" s="7" t="d">
        <x:v>2026-06-11T00:00:00.000Z</x:v>
      </x:c>
      <x:c r="B138" s="2" t="str">
        <x:v>Jun-26</x:v>
      </x:c>
      <x:c r="C138" s="2" t="str">
        <x:v>General &amp; Administrative</x:v>
      </x:c>
      <x:c r="D138" s="2" t="str">
        <x:v>Operating Expenses</x:v>
      </x:c>
      <x:c r="E138" s="2" t="n">
        <x:v>3</x:v>
      </x:c>
      <x:c r="F138" s="2" t="n">
        <x:v>9</x:v>
      </x:c>
      <x:c r="G138" s="2" t="str">
        <x:v>Corporate</x:v>
      </x:c>
      <x:c r="H138" s="2" t="str">
        <x:v>Facilities</x:v>
      </x:c>
      <x:c r="I138" s="8" t="n">
        <x:v>26670</x:v>
      </x:c>
    </x:row>
    <x:row r="139">
      <x:c r="A139" s="7" t="d">
        <x:v>2026-06-19T00:00:00.000Z</x:v>
      </x:c>
      <x:c r="B139" s="2" t="str">
        <x:v>Jun-26</x:v>
      </x:c>
      <x:c r="C139" s="2" t="str">
        <x:v>General &amp; Administrative</x:v>
      </x:c>
      <x:c r="D139" s="2" t="str">
        <x:v>Operating Expenses</x:v>
      </x:c>
      <x:c r="E139" s="2" t="n">
        <x:v>3</x:v>
      </x:c>
      <x:c r="F139" s="2" t="n">
        <x:v>9</x:v>
      </x:c>
      <x:c r="G139" s="2" t="str">
        <x:v>Corporate</x:v>
      </x:c>
      <x:c r="H139" s="2" t="str">
        <x:v>SaaS</x:v>
      </x:c>
      <x:c r="I139" s="8" t="n">
        <x:v>17145</x:v>
      </x:c>
    </x:row>
    <x:row r="140">
      <x:c r="A140" s="7" t="d">
        <x:v>2026-01-04T00:00:00.000Z</x:v>
      </x:c>
      <x:c r="B140" s="2" t="str">
        <x:v>Jan-26</x:v>
      </x:c>
      <x:c r="C140" s="2" t="str">
        <x:v>People / Recruiting</x:v>
      </x:c>
      <x:c r="D140" s="2" t="str">
        <x:v>Operating Expenses</x:v>
      </x:c>
      <x:c r="E140" s="2" t="n">
        <x:v>3</x:v>
      </x:c>
      <x:c r="F140" s="2" t="n">
        <x:v>10</x:v>
      </x:c>
      <x:c r="G140" s="2" t="str">
        <x:v>People</x:v>
      </x:c>
      <x:c r="H140" s="2" t="str">
        <x:v>Recruiting</x:v>
      </x:c>
      <x:c r="I140" s="8" t="n">
        <x:v>11590</x:v>
      </x:c>
    </x:row>
    <x:row r="141">
      <x:c r="A141" s="7" t="d">
        <x:v>2026-01-12T00:00:00.000Z</x:v>
      </x:c>
      <x:c r="B141" s="2" t="str">
        <x:v>Jan-26</x:v>
      </x:c>
      <x:c r="C141" s="2" t="str">
        <x:v>People / Recruiting</x:v>
      </x:c>
      <x:c r="D141" s="2" t="str">
        <x:v>Operating Expenses</x:v>
      </x:c>
      <x:c r="E141" s="2" t="n">
        <x:v>3</x:v>
      </x:c>
      <x:c r="F141" s="2" t="n">
        <x:v>10</x:v>
      </x:c>
      <x:c r="G141" s="2" t="str">
        <x:v>People</x:v>
      </x:c>
      <x:c r="H141" s="2" t="str">
        <x:v>Training</x:v>
      </x:c>
      <x:c r="I141" s="8" t="n">
        <x:v>7410</x:v>
      </x:c>
    </x:row>
    <x:row r="142">
      <x:c r="A142" s="7" t="d">
        <x:v>2026-02-04T00:00:00.000Z</x:v>
      </x:c>
      <x:c r="B142" s="2" t="str">
        <x:v>Feb-26</x:v>
      </x:c>
      <x:c r="C142" s="2" t="str">
        <x:v>People / Recruiting</x:v>
      </x:c>
      <x:c r="D142" s="2" t="str">
        <x:v>Operating Expenses</x:v>
      </x:c>
      <x:c r="E142" s="2" t="n">
        <x:v>3</x:v>
      </x:c>
      <x:c r="F142" s="2" t="n">
        <x:v>10</x:v>
      </x:c>
      <x:c r="G142" s="2" t="str">
        <x:v>People</x:v>
      </x:c>
      <x:c r="H142" s="2" t="str">
        <x:v>Recruiting</x:v>
      </x:c>
      <x:c r="I142" s="8" t="n">
        <x:v>14030</x:v>
      </x:c>
    </x:row>
    <x:row r="143">
      <x:c r="A143" s="7" t="d">
        <x:v>2026-02-12T00:00:00.000Z</x:v>
      </x:c>
      <x:c r="B143" s="2" t="str">
        <x:v>Feb-26</x:v>
      </x:c>
      <x:c r="C143" s="2" t="str">
        <x:v>People / Recruiting</x:v>
      </x:c>
      <x:c r="D143" s="2" t="str">
        <x:v>Operating Expenses</x:v>
      </x:c>
      <x:c r="E143" s="2" t="n">
        <x:v>3</x:v>
      </x:c>
      <x:c r="F143" s="2" t="n">
        <x:v>10</x:v>
      </x:c>
      <x:c r="G143" s="2" t="str">
        <x:v>People</x:v>
      </x:c>
      <x:c r="H143" s="2" t="str">
        <x:v>Training</x:v>
      </x:c>
      <x:c r="I143" s="8" t="n">
        <x:v>8970</x:v>
      </x:c>
    </x:row>
    <x:row r="144">
      <x:c r="A144" s="7" t="d">
        <x:v>2026-03-04T00:00:00.000Z</x:v>
      </x:c>
      <x:c r="B144" s="2" t="str">
        <x:v>Mar-26</x:v>
      </x:c>
      <x:c r="C144" s="2" t="str">
        <x:v>People / Recruiting</x:v>
      </x:c>
      <x:c r="D144" s="2" t="str">
        <x:v>Operating Expenses</x:v>
      </x:c>
      <x:c r="E144" s="2" t="n">
        <x:v>3</x:v>
      </x:c>
      <x:c r="F144" s="2" t="n">
        <x:v>10</x:v>
      </x:c>
      <x:c r="G144" s="2" t="str">
        <x:v>People</x:v>
      </x:c>
      <x:c r="H144" s="2" t="str">
        <x:v>Recruiting</x:v>
      </x:c>
      <x:c r="I144" s="8" t="n">
        <x:v>10370</x:v>
      </x:c>
    </x:row>
    <x:row r="145">
      <x:c r="A145" s="7" t="d">
        <x:v>2026-03-12T00:00:00.000Z</x:v>
      </x:c>
      <x:c r="B145" s="2" t="str">
        <x:v>Mar-26</x:v>
      </x:c>
      <x:c r="C145" s="2" t="str">
        <x:v>People / Recruiting</x:v>
      </x:c>
      <x:c r="D145" s="2" t="str">
        <x:v>Operating Expenses</x:v>
      </x:c>
      <x:c r="E145" s="2" t="n">
        <x:v>3</x:v>
      </x:c>
      <x:c r="F145" s="2" t="n">
        <x:v>10</x:v>
      </x:c>
      <x:c r="G145" s="2" t="str">
        <x:v>People</x:v>
      </x:c>
      <x:c r="H145" s="2" t="str">
        <x:v>Training</x:v>
      </x:c>
      <x:c r="I145" s="8" t="n">
        <x:v>6630</x:v>
      </x:c>
    </x:row>
    <x:row r="146">
      <x:c r="A146" s="7" t="d">
        <x:v>2026-04-04T00:00:00.000Z</x:v>
      </x:c>
      <x:c r="B146" s="2" t="str">
        <x:v>Apr-26</x:v>
      </x:c>
      <x:c r="C146" s="2" t="str">
        <x:v>People / Recruiting</x:v>
      </x:c>
      <x:c r="D146" s="2" t="str">
        <x:v>Operating Expenses</x:v>
      </x:c>
      <x:c r="E146" s="2" t="n">
        <x:v>3</x:v>
      </x:c>
      <x:c r="F146" s="2" t="n">
        <x:v>10</x:v>
      </x:c>
      <x:c r="G146" s="2" t="str">
        <x:v>People</x:v>
      </x:c>
      <x:c r="H146" s="2" t="str">
        <x:v>Recruiting</x:v>
      </x:c>
      <x:c r="I146" s="8" t="n">
        <x:v>17080</x:v>
      </x:c>
    </x:row>
    <x:row r="147">
      <x:c r="A147" s="7" t="d">
        <x:v>2026-04-12T00:00:00.000Z</x:v>
      </x:c>
      <x:c r="B147" s="2" t="str">
        <x:v>Apr-26</x:v>
      </x:c>
      <x:c r="C147" s="2" t="str">
        <x:v>People / Recruiting</x:v>
      </x:c>
      <x:c r="D147" s="2" t="str">
        <x:v>Operating Expenses</x:v>
      </x:c>
      <x:c r="E147" s="2" t="n">
        <x:v>3</x:v>
      </x:c>
      <x:c r="F147" s="2" t="n">
        <x:v>10</x:v>
      </x:c>
      <x:c r="G147" s="2" t="str">
        <x:v>People</x:v>
      </x:c>
      <x:c r="H147" s="2" t="str">
        <x:v>Training</x:v>
      </x:c>
      <x:c r="I147" s="8" t="n">
        <x:v>10920</x:v>
      </x:c>
    </x:row>
    <x:row r="148">
      <x:c r="A148" s="7" t="d">
        <x:v>2026-05-04T00:00:00.000Z</x:v>
      </x:c>
      <x:c r="B148" s="2" t="str">
        <x:v>May-26</x:v>
      </x:c>
      <x:c r="C148" s="2" t="str">
        <x:v>People / Recruiting</x:v>
      </x:c>
      <x:c r="D148" s="2" t="str">
        <x:v>Operating Expenses</x:v>
      </x:c>
      <x:c r="E148" s="2" t="n">
        <x:v>3</x:v>
      </x:c>
      <x:c r="F148" s="2" t="n">
        <x:v>10</x:v>
      </x:c>
      <x:c r="G148" s="2" t="str">
        <x:v>People</x:v>
      </x:c>
      <x:c r="H148" s="2" t="str">
        <x:v>Recruiting</x:v>
      </x:c>
      <x:c r="I148" s="8" t="n">
        <x:v>12810</x:v>
      </x:c>
    </x:row>
    <x:row r="149">
      <x:c r="A149" s="7" t="d">
        <x:v>2026-05-12T00:00:00.000Z</x:v>
      </x:c>
      <x:c r="B149" s="2" t="str">
        <x:v>May-26</x:v>
      </x:c>
      <x:c r="C149" s="2" t="str">
        <x:v>People / Recruiting</x:v>
      </x:c>
      <x:c r="D149" s="2" t="str">
        <x:v>Operating Expenses</x:v>
      </x:c>
      <x:c r="E149" s="2" t="n">
        <x:v>3</x:v>
      </x:c>
      <x:c r="F149" s="2" t="n">
        <x:v>10</x:v>
      </x:c>
      <x:c r="G149" s="2" t="str">
        <x:v>People</x:v>
      </x:c>
      <x:c r="H149" s="2" t="str">
        <x:v>Training</x:v>
      </x:c>
      <x:c r="I149" s="8" t="n">
        <x:v>8190</x:v>
      </x:c>
    </x:row>
    <x:row r="150">
      <x:c r="A150" s="7" t="d">
        <x:v>2026-06-04T00:00:00.000Z</x:v>
      </x:c>
      <x:c r="B150" s="2" t="str">
        <x:v>Jun-26</x:v>
      </x:c>
      <x:c r="C150" s="2" t="str">
        <x:v>People / Recruiting</x:v>
      </x:c>
      <x:c r="D150" s="2" t="str">
        <x:v>Operating Expenses</x:v>
      </x:c>
      <x:c r="E150" s="2" t="n">
        <x:v>3</x:v>
      </x:c>
      <x:c r="F150" s="2" t="n">
        <x:v>10</x:v>
      </x:c>
      <x:c r="G150" s="2" t="str">
        <x:v>People</x:v>
      </x:c>
      <x:c r="H150" s="2" t="str">
        <x:v>Recruiting</x:v>
      </x:c>
      <x:c r="I150" s="8" t="n">
        <x:v>15860</x:v>
      </x:c>
    </x:row>
    <x:row r="151">
      <x:c r="A151" s="7" t="d">
        <x:v>2026-06-12T00:00:00.000Z</x:v>
      </x:c>
      <x:c r="B151" s="2" t="str">
        <x:v>Jun-26</x:v>
      </x:c>
      <x:c r="C151" s="2" t="str">
        <x:v>People / Recruiting</x:v>
      </x:c>
      <x:c r="D151" s="2" t="str">
        <x:v>Operating Expenses</x:v>
      </x:c>
      <x:c r="E151" s="2" t="n">
        <x:v>3</x:v>
      </x:c>
      <x:c r="F151" s="2" t="n">
        <x:v>10</x:v>
      </x:c>
      <x:c r="G151" s="2" t="str">
        <x:v>People</x:v>
      </x:c>
      <x:c r="H151" s="2" t="str">
        <x:v>Training</x:v>
      </x:c>
      <x:c r="I151" s="8" t="n">
        <x:v>10140</x:v>
      </x:c>
    </x:row>
    <x:row r="152">
      <x:c r="A152" s="7" t="d">
        <x:v>2026-01-05T00:00:00.000Z</x:v>
      </x:c>
      <x:c r="B152" s="2" t="str">
        <x:v>Jan-26</x:v>
      </x:c>
      <x:c r="C152" s="2" t="str">
        <x:v>Depreciation &amp; Amort.</x:v>
      </x:c>
      <x:c r="D152" s="2" t="str">
        <x:v>Below the Line</x:v>
      </x:c>
      <x:c r="E152" s="2" t="n">
        <x:v>4</x:v>
      </x:c>
      <x:c r="F152" s="2" t="n">
        <x:v>11</x:v>
      </x:c>
      <x:c r="G152" s="2" t="str">
        <x:v>Corporate</x:v>
      </x:c>
      <x:c r="H152" s="2" t="str">
        <x:v>Monthly depreciation</x:v>
      </x:c>
      <x:c r="I152" s="8" t="n">
        <x:v>13800</x:v>
      </x:c>
    </x:row>
    <x:row r="153">
      <x:c r="A153" s="7" t="d">
        <x:v>2026-02-05T00:00:00.000Z</x:v>
      </x:c>
      <x:c r="B153" s="2" t="str">
        <x:v>Feb-26</x:v>
      </x:c>
      <x:c r="C153" s="2" t="str">
        <x:v>Depreciation &amp; Amort.</x:v>
      </x:c>
      <x:c r="D153" s="2" t="str">
        <x:v>Below the Line</x:v>
      </x:c>
      <x:c r="E153" s="2" t="n">
        <x:v>4</x:v>
      </x:c>
      <x:c r="F153" s="2" t="n">
        <x:v>11</x:v>
      </x:c>
      <x:c r="G153" s="2" t="str">
        <x:v>Corporate</x:v>
      </x:c>
      <x:c r="H153" s="2" t="str">
        <x:v>Monthly depreciation</x:v>
      </x:c>
      <x:c r="I153" s="8" t="n">
        <x:v>14250</x:v>
      </x:c>
    </x:row>
    <x:row r="154">
      <x:c r="A154" s="7" t="d">
        <x:v>2026-03-05T00:00:00.000Z</x:v>
      </x:c>
      <x:c r="B154" s="2" t="str">
        <x:v>Mar-26</x:v>
      </x:c>
      <x:c r="C154" s="2" t="str">
        <x:v>Depreciation &amp; Amort.</x:v>
      </x:c>
      <x:c r="D154" s="2" t="str">
        <x:v>Below the Line</x:v>
      </x:c>
      <x:c r="E154" s="2" t="n">
        <x:v>4</x:v>
      </x:c>
      <x:c r="F154" s="2" t="n">
        <x:v>11</x:v>
      </x:c>
      <x:c r="G154" s="2" t="str">
        <x:v>Corporate</x:v>
      </x:c>
      <x:c r="H154" s="2" t="str">
        <x:v>Monthly depreciation</x:v>
      </x:c>
      <x:c r="I154" s="8" t="n">
        <x:v>13450</x:v>
      </x:c>
    </x:row>
    <x:row r="155">
      <x:c r="A155" s="7" t="d">
        <x:v>2026-04-05T00:00:00.000Z</x:v>
      </x:c>
      <x:c r="B155" s="2" t="str">
        <x:v>Apr-26</x:v>
      </x:c>
      <x:c r="C155" s="2" t="str">
        <x:v>Depreciation &amp; Amort.</x:v>
      </x:c>
      <x:c r="D155" s="2" t="str">
        <x:v>Below the Line</x:v>
      </x:c>
      <x:c r="E155" s="2" t="n">
        <x:v>4</x:v>
      </x:c>
      <x:c r="F155" s="2" t="n">
        <x:v>11</x:v>
      </x:c>
      <x:c r="G155" s="2" t="str">
        <x:v>Corporate</x:v>
      </x:c>
      <x:c r="H155" s="2" t="str">
        <x:v>Monthly depreciation</x:v>
      </x:c>
      <x:c r="I155" s="8" t="n">
        <x:v>14700</x:v>
      </x:c>
    </x:row>
    <x:row r="156">
      <x:c r="A156" s="7" t="d">
        <x:v>2026-05-05T00:00:00.000Z</x:v>
      </x:c>
      <x:c r="B156" s="2" t="str">
        <x:v>May-26</x:v>
      </x:c>
      <x:c r="C156" s="2" t="str">
        <x:v>Depreciation &amp; Amort.</x:v>
      </x:c>
      <x:c r="D156" s="2" t="str">
        <x:v>Below the Line</x:v>
      </x:c>
      <x:c r="E156" s="2" t="n">
        <x:v>4</x:v>
      </x:c>
      <x:c r="F156" s="2" t="n">
        <x:v>11</x:v>
      </x:c>
      <x:c r="G156" s="2" t="str">
        <x:v>Corporate</x:v>
      </x:c>
      <x:c r="H156" s="2" t="str">
        <x:v>Monthly depreciation</x:v>
      </x:c>
      <x:c r="I156" s="8" t="n">
        <x:v>13600</x:v>
      </x:c>
    </x:row>
    <x:row r="157">
      <x:c r="A157" s="7" t="d">
        <x:v>2026-06-05T00:00:00.000Z</x:v>
      </x:c>
      <x:c r="B157" s="2" t="str">
        <x:v>Jun-26</x:v>
      </x:c>
      <x:c r="C157" s="2" t="str">
        <x:v>Depreciation &amp; Amort.</x:v>
      </x:c>
      <x:c r="D157" s="2" t="str">
        <x:v>Below the Line</x:v>
      </x:c>
      <x:c r="E157" s="2" t="n">
        <x:v>4</x:v>
      </x:c>
      <x:c r="F157" s="2" t="n">
        <x:v>11</x:v>
      </x:c>
      <x:c r="G157" s="2" t="str">
        <x:v>Corporate</x:v>
      </x:c>
      <x:c r="H157" s="2" t="str">
        <x:v>Monthly depreciation</x:v>
      </x:c>
      <x:c r="I157" s="8" t="n">
        <x:v>15050</x:v>
      </x:c>
    </x:row>
    <x:row r="158">
      <x:c r="A158" s="7" t="d">
        <x:v>2026-01-03T00:00:00.000Z</x:v>
      </x:c>
      <x:c r="B158" s="2" t="str">
        <x:v>Jan-26</x:v>
      </x:c>
      <x:c r="C158" s="2" t="str">
        <x:v>Interest Expense</x:v>
      </x:c>
      <x:c r="D158" s="2" t="str">
        <x:v>Below the Line</x:v>
      </x:c>
      <x:c r="E158" s="2" t="n">
        <x:v>4</x:v>
      </x:c>
      <x:c r="F158" s="2" t="n">
        <x:v>12</x:v>
      </x:c>
      <x:c r="G158" s="2" t="str">
        <x:v>Finance</x:v>
      </x:c>
      <x:c r="H158" s="2" t="str">
        <x:v>Term loan interest</x:v>
      </x:c>
      <x:c r="I158" s="8" t="n">
        <x:v>5600</x:v>
      </x:c>
    </x:row>
    <x:row r="159">
      <x:c r="A159" s="7" t="d">
        <x:v>2026-02-03T00:00:00.000Z</x:v>
      </x:c>
      <x:c r="B159" s="2" t="str">
        <x:v>Feb-26</x:v>
      </x:c>
      <x:c r="C159" s="2" t="str">
        <x:v>Interest Expense</x:v>
      </x:c>
      <x:c r="D159" s="2" t="str">
        <x:v>Below the Line</x:v>
      </x:c>
      <x:c r="E159" s="2" t="n">
        <x:v>4</x:v>
      </x:c>
      <x:c r="F159" s="2" t="n">
        <x:v>12</x:v>
      </x:c>
      <x:c r="G159" s="2" t="str">
        <x:v>Finance</x:v>
      </x:c>
      <x:c r="H159" s="2" t="str">
        <x:v>Term loan interest</x:v>
      </x:c>
      <x:c r="I159" s="8" t="n">
        <x:v>5600</x:v>
      </x:c>
    </x:row>
    <x:row r="160">
      <x:c r="A160" s="7" t="d">
        <x:v>2026-03-03T00:00:00.000Z</x:v>
      </x:c>
      <x:c r="B160" s="2" t="str">
        <x:v>Mar-26</x:v>
      </x:c>
      <x:c r="C160" s="2" t="str">
        <x:v>Interest Expense</x:v>
      </x:c>
      <x:c r="D160" s="2" t="str">
        <x:v>Below the Line</x:v>
      </x:c>
      <x:c r="E160" s="2" t="n">
        <x:v>4</x:v>
      </x:c>
      <x:c r="F160" s="2" t="n">
        <x:v>12</x:v>
      </x:c>
      <x:c r="G160" s="2" t="str">
        <x:v>Finance</x:v>
      </x:c>
      <x:c r="H160" s="2" t="str">
        <x:v>Term loan interest</x:v>
      </x:c>
      <x:c r="I160" s="8" t="n">
        <x:v>5500</x:v>
      </x:c>
    </x:row>
    <x:row r="161">
      <x:c r="A161" s="7" t="d">
        <x:v>2026-04-03T00:00:00.000Z</x:v>
      </x:c>
      <x:c r="B161" s="2" t="str">
        <x:v>Apr-26</x:v>
      </x:c>
      <x:c r="C161" s="2" t="str">
        <x:v>Interest Expense</x:v>
      </x:c>
      <x:c r="D161" s="2" t="str">
        <x:v>Below the Line</x:v>
      </x:c>
      <x:c r="E161" s="2" t="n">
        <x:v>4</x:v>
      </x:c>
      <x:c r="F161" s="2" t="n">
        <x:v>12</x:v>
      </x:c>
      <x:c r="G161" s="2" t="str">
        <x:v>Finance</x:v>
      </x:c>
      <x:c r="H161" s="2" t="str">
        <x:v>Term loan interest</x:v>
      </x:c>
      <x:c r="I161" s="8" t="n">
        <x:v>5500</x:v>
      </x:c>
    </x:row>
    <x:row r="162">
      <x:c r="A162" s="7" t="d">
        <x:v>2026-05-03T00:00:00.000Z</x:v>
      </x:c>
      <x:c r="B162" s="2" t="str">
        <x:v>May-26</x:v>
      </x:c>
      <x:c r="C162" s="2" t="str">
        <x:v>Interest Expense</x:v>
      </x:c>
      <x:c r="D162" s="2" t="str">
        <x:v>Below the Line</x:v>
      </x:c>
      <x:c r="E162" s="2" t="n">
        <x:v>4</x:v>
      </x:c>
      <x:c r="F162" s="2" t="n">
        <x:v>12</x:v>
      </x:c>
      <x:c r="G162" s="2" t="str">
        <x:v>Finance</x:v>
      </x:c>
      <x:c r="H162" s="2" t="str">
        <x:v>Term loan interest</x:v>
      </x:c>
      <x:c r="I162" s="8" t="n">
        <x:v>5400</x:v>
      </x:c>
    </x:row>
    <x:row r="163">
      <x:c r="A163" s="7" t="d">
        <x:v>2026-06-03T00:00:00.000Z</x:v>
      </x:c>
      <x:c r="B163" s="2" t="str">
        <x:v>Jun-26</x:v>
      </x:c>
      <x:c r="C163" s="2" t="str">
        <x:v>Interest Expense</x:v>
      </x:c>
      <x:c r="D163" s="2" t="str">
        <x:v>Below the Line</x:v>
      </x:c>
      <x:c r="E163" s="2" t="n">
        <x:v>4</x:v>
      </x:c>
      <x:c r="F163" s="2" t="n">
        <x:v>12</x:v>
      </x:c>
      <x:c r="G163" s="2" t="str">
        <x:v>Finance</x:v>
      </x:c>
      <x:c r="H163" s="2" t="str">
        <x:v>Term loan interest</x:v>
      </x:c>
      <x:c r="I163" s="8" t="n">
        <x:v>5400</x:v>
      </x:c>
    </x:row>
  </x:sheetData>
  <x:conditionalFormatting sqref="I2:I163">
    <x:cfRule type="cellIs" dxfId="0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b50ca4df07e4782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22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</x:cols>
  <x:sheetData>
    <x:row r="1">
      <x:c r="A1" s="6" t="str">
        <x:v>Line Item</x:v>
      </x:c>
      <x:c r="B1" s="6" t="str">
        <x:v>Section</x:v>
      </x:c>
      <x:c r="C1" s="6" t="str">
        <x:v>Section Order</x:v>
      </x:c>
      <x:c r="D1" s="6" t="str">
        <x:v>Line Order</x:v>
      </x:c>
      <x:c r="E1" s="6" t="str">
        <x:v>Forecast Method</x:v>
      </x:c>
      <x:c r="F1" s="6" t="str">
        <x:v>Owner</x:v>
      </x:c>
    </x:row>
    <x:row r="2">
      <x:c r="A2" s="2" t="str">
        <x:v>Subscription Revenue</x:v>
      </x:c>
      <x:c r="B2" s="2" t="str">
        <x:v>Revenue</x:v>
      </x:c>
      <x:c r="C2" s="2" t="n">
        <x:v>1</x:v>
      </x:c>
      <x:c r="D2" s="2" t="n">
        <x:v>1</x:v>
      </x:c>
      <x:c r="E2" s="2" t="str">
        <x:v>growth</x:v>
      </x:c>
      <x:c r="F2" s="2" t="str">
        <x:v>Revenue</x:v>
      </x:c>
    </x:row>
    <x:row r="3">
      <x:c r="A3" s="2" t="str">
        <x:v>Usage Revenue</x:v>
      </x:c>
      <x:c r="B3" s="2" t="str">
        <x:v>Revenue</x:v>
      </x:c>
      <x:c r="C3" s="2" t="n">
        <x:v>1</x:v>
      </x:c>
      <x:c r="D3" s="2" t="n">
        <x:v>2</x:v>
      </x:c>
      <x:c r="E3" s="2" t="str">
        <x:v>growth</x:v>
      </x:c>
      <x:c r="F3" s="2" t="str">
        <x:v>Revenue</x:v>
      </x:c>
    </x:row>
    <x:row r="4">
      <x:c r="A4" s="2" t="str">
        <x:v>Professional Services Rev</x:v>
      </x:c>
      <x:c r="B4" s="2" t="str">
        <x:v>Revenue</x:v>
      </x:c>
      <x:c r="C4" s="2" t="n">
        <x:v>1</x:v>
      </x:c>
      <x:c r="D4" s="2" t="n">
        <x:v>3</x:v>
      </x:c>
      <x:c r="E4" s="2" t="str">
        <x:v>manual</x:v>
      </x:c>
      <x:c r="F4" s="2" t="str">
        <x:v>Services</x:v>
      </x:c>
    </x:row>
    <x:row r="5">
      <x:c r="A5" s="2" t="str">
        <x:v>Hosting &amp; Infrastructure</x:v>
      </x:c>
      <x:c r="B5" s="2" t="str">
        <x:v>Cost of Revenue</x:v>
      </x:c>
      <x:c r="C5" s="2" t="n">
        <x:v>2</x:v>
      </x:c>
      <x:c r="D5" s="2" t="n">
        <x:v>4</x:v>
      </x:c>
      <x:c r="E5" s="2" t="str">
        <x:v>growth</x:v>
      </x:c>
      <x:c r="F5" s="2" t="str">
        <x:v>Engineering</x:v>
      </x:c>
    </x:row>
    <x:row r="6">
      <x:c r="A6" s="2" t="str">
        <x:v>Customer Support</x:v>
      </x:c>
      <x:c r="B6" s="2" t="str">
        <x:v>Cost of Revenue</x:v>
      </x:c>
      <x:c r="C6" s="2" t="n">
        <x:v>2</x:v>
      </x:c>
      <x:c r="D6" s="2" t="n">
        <x:v>5</x:v>
      </x:c>
      <x:c r="E6" s="2" t="str">
        <x:v>growth</x:v>
      </x:c>
      <x:c r="F6" s="2" t="str">
        <x:v>Support</x:v>
      </x:c>
    </x:row>
    <x:row r="7">
      <x:c r="A7" s="2" t="str">
        <x:v>Services Delivery</x:v>
      </x:c>
      <x:c r="B7" s="2" t="str">
        <x:v>Cost of Revenue</x:v>
      </x:c>
      <x:c r="C7" s="2" t="n">
        <x:v>2</x:v>
      </x:c>
      <x:c r="D7" s="2" t="n">
        <x:v>6</x:v>
      </x:c>
      <x:c r="E7" s="2" t="str">
        <x:v>manual</x:v>
      </x:c>
      <x:c r="F7" s="2" t="str">
        <x:v>Services</x:v>
      </x:c>
    </x:row>
    <x:row r="8">
      <x:c r="A8" s="2" t="str">
        <x:v>Sales &amp; Marketing</x:v>
      </x:c>
      <x:c r="B8" s="2" t="str">
        <x:v>Operating Expenses</x:v>
      </x:c>
      <x:c r="C8" s="2" t="n">
        <x:v>3</x:v>
      </x:c>
      <x:c r="D8" s="2" t="n">
        <x:v>7</x:v>
      </x:c>
      <x:c r="E8" s="2" t="str">
        <x:v>manual</x:v>
      </x:c>
      <x:c r="F8" s="2" t="str">
        <x:v>Go-to-Market</x:v>
      </x:c>
    </x:row>
    <x:row r="9">
      <x:c r="A9" s="2" t="str">
        <x:v>Research &amp; Development</x:v>
      </x:c>
      <x:c r="B9" s="2" t="str">
        <x:v>Operating Expenses</x:v>
      </x:c>
      <x:c r="C9" s="2" t="n">
        <x:v>3</x:v>
      </x:c>
      <x:c r="D9" s="2" t="n">
        <x:v>8</x:v>
      </x:c>
      <x:c r="E9" s="2" t="str">
        <x:v>growth</x:v>
      </x:c>
      <x:c r="F9" s="2" t="str">
        <x:v>Engineering</x:v>
      </x:c>
    </x:row>
    <x:row r="10">
      <x:c r="A10" s="2" t="str">
        <x:v>General &amp; Administrative</x:v>
      </x:c>
      <x:c r="B10" s="2" t="str">
        <x:v>Operating Expenses</x:v>
      </x:c>
      <x:c r="C10" s="2" t="n">
        <x:v>3</x:v>
      </x:c>
      <x:c r="D10" s="2" t="n">
        <x:v>9</x:v>
      </x:c>
      <x:c r="E10" s="2" t="str">
        <x:v>growth</x:v>
      </x:c>
      <x:c r="F10" s="2" t="str">
        <x:v>Corporate</x:v>
      </x:c>
    </x:row>
    <x:row r="11">
      <x:c r="A11" s="2" t="str">
        <x:v>People / Recruiting</x:v>
      </x:c>
      <x:c r="B11" s="2" t="str">
        <x:v>Operating Expenses</x:v>
      </x:c>
      <x:c r="C11" s="2" t="n">
        <x:v>3</x:v>
      </x:c>
      <x:c r="D11" s="2" t="n">
        <x:v>10</x:v>
      </x:c>
      <x:c r="E11" s="2" t="str">
        <x:v>manual</x:v>
      </x:c>
      <x:c r="F11" s="2" t="str">
        <x:v>People</x:v>
      </x:c>
    </x:row>
    <x:row r="12">
      <x:c r="A12" s="2" t="str">
        <x:v>Depreciation &amp; Amort.</x:v>
      </x:c>
      <x:c r="B12" s="2" t="str">
        <x:v>Below the Line</x:v>
      </x:c>
      <x:c r="C12" s="2" t="n">
        <x:v>4</x:v>
      </x:c>
      <x:c r="D12" s="2" t="n">
        <x:v>11</x:v>
      </x:c>
      <x:c r="E12" s="2" t="str">
        <x:v>flat</x:v>
      </x:c>
      <x:c r="F12" s="2" t="str">
        <x:v>Corporate</x:v>
      </x:c>
    </x:row>
    <x:row r="13">
      <x:c r="A13" s="2" t="str">
        <x:v>Interest Expense</x:v>
      </x:c>
      <x:c r="B13" s="2" t="str">
        <x:v>Below the Line</x:v>
      </x:c>
      <x:c r="C13" s="2" t="n">
        <x:v>4</x:v>
      </x:c>
      <x:c r="D13" s="2" t="n">
        <x:v>12</x:v>
      </x:c>
      <x:c r="E13" s="2" t="str">
        <x:v>manual</x:v>
      </x:c>
      <x:c r="F13" s="2" t="str">
        <x:v>Finance</x:v>
      </x:c>
    </x:row>
  </x:sheetData>
  <x:pageMargins left="0.7" right="0.7" top="0.75" bottom="0.75" header="0.3" footer="0.3"/>
  <x:tableParts count="1">
    <x:tablePart xmlns:r="http://schemas.openxmlformats.org/officeDocument/2006/relationships" r:id="Rf2012b9f011f492e"/>
  </x:tableParts>
</x:worksheet>
</file>