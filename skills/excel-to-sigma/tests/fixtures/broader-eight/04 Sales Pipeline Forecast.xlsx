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" sheetId="1" state="visible" r:id="rId1"/>
    <sheet name="Stages" sheetId="2" state="visible" r:id="rId2"/>
    <sheet name="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;[Red](#,##0)"/>
    <numFmt numFmtId="166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D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9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166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Weighted Pipeline by Owner &amp; Month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'Forecast'!B3</f>
            </strRef>
          </tx>
          <spPr>
            <a:ln>
              <a:prstDash val="solid"/>
            </a:ln>
          </spPr>
          <cat>
            <numRef>
              <f>'Forecast'!$A$4:$A$7</f>
            </numRef>
          </cat>
          <val>
            <numRef>
              <f>'Forecast'!$B$4:$B$7</f>
            </numRef>
          </val>
        </ser>
        <ser>
          <idx val="1"/>
          <order val="1"/>
          <tx>
            <strRef>
              <f>'Forecast'!C3</f>
            </strRef>
          </tx>
          <spPr>
            <a:ln>
              <a:prstDash val="solid"/>
            </a:ln>
          </spPr>
          <cat>
            <numRef>
              <f>'Forecast'!$A$4:$A$7</f>
            </numRef>
          </cat>
          <val>
            <numRef>
              <f>'Forecast'!$C$4:$C$7</f>
            </numRef>
          </val>
        </ser>
        <ser>
          <idx val="2"/>
          <order val="2"/>
          <tx>
            <strRef>
              <f>'Forecast'!D3</f>
            </strRef>
          </tx>
          <spPr>
            <a:ln>
              <a:prstDash val="solid"/>
            </a:ln>
          </spPr>
          <cat>
            <numRef>
              <f>'Forecast'!$A$4:$A$7</f>
            </numRef>
          </cat>
          <val>
            <numRef>
              <f>'Forecast'!$D$4:$D$7</f>
            </numRef>
          </val>
        </ser>
        <ser>
          <idx val="3"/>
          <order val="3"/>
          <tx>
            <strRef>
              <f>'Forecast'!E3</f>
            </strRef>
          </tx>
          <spPr>
            <a:ln>
              <a:prstDash val="solid"/>
            </a:ln>
          </spPr>
          <cat>
            <numRef>
              <f>'Forecast'!$A$4:$A$7</f>
            </numRef>
          </cat>
          <val>
            <numRef>
              <f>'Forecast'!$E$4:$E$7</f>
            </numRef>
          </val>
        </ser>
        <ser>
          <idx val="4"/>
          <order val="4"/>
          <tx>
            <strRef>
              <f>'Forecast'!F3</f>
            </strRef>
          </tx>
          <spPr>
            <a:ln>
              <a:prstDash val="solid"/>
            </a:ln>
          </spPr>
          <cat>
            <numRef>
              <f>'Forecast'!$A$4:$A$7</f>
            </numRef>
          </cat>
          <val>
            <numRef>
              <f>'Forecast'!$F$4:$F$7</f>
            </numRef>
          </val>
        </ser>
        <ser>
          <idx val="5"/>
          <order val="5"/>
          <tx>
            <strRef>
              <f>'Forecast'!G3</f>
            </strRef>
          </tx>
          <spPr>
            <a:ln>
              <a:prstDash val="solid"/>
            </a:ln>
          </spPr>
          <cat>
            <numRef>
              <f>'Forecast'!$A$4:$A$7</f>
            </numRef>
          </cat>
          <val>
            <numRef>
              <f>'Forecast'!$G$4:$G$7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Pipeline $ by Stage</a:t>
            </a:r>
          </a:p>
        </rich>
      </tx>
    </title>
    <plotArea>
      <doughnutChart>
        <varyColors val="1"/>
        <ser>
          <idx val="0"/>
          <order val="0"/>
          <tx>
            <strRef>
              <f>'Forecast'!C11</f>
            </strRef>
          </tx>
          <spPr>
            <a:ln>
              <a:prstDash val="solid"/>
            </a:ln>
          </spPr>
          <cat>
            <numRef>
              <f>'Forecast'!$A$12:$A$17</f>
            </numRef>
          </cat>
          <val>
            <numRef>
              <f>'Forecast'!$C$12:$C$17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Pipeline" displayName="tblPipeline" ref="A1:I61" headerRowCount="1">
  <autoFilter ref="A1:I61"/>
  <tableColumns count="9">
    <tableColumn id="1" name="Opp ID"/>
    <tableColumn id="2" name="Account"/>
    <tableColumn id="3" name="Owner"/>
    <tableColumn id="4" name="Stage"/>
    <tableColumn id="5" name="Close Date"/>
    <tableColumn id="6" name="Amount"/>
    <tableColumn id="7" name="Probability">
      <calculatedColumnFormula>_xlfn.XLOOKUP(tblPipeline[[#This Row],[Stage]],tblStages[Stage],tblStages[Probability],0)</calculatedColumnFormula>
    </tableColumn>
    <tableColumn id="8" name="Weighted Amount">
      <calculatedColumnFormula>tblPipeline[[#This Row],[Amount]]*tblPipeline[[#This Row],[Probability]]</calculatedColumnFormula>
    </tableColumn>
    <tableColumn id="9" name="Forecast Category">
      <calculatedColumnFormula>_xlfn.XLOOKUP(tblPipeline[[#This Row],[Stage]],tblStages[Stage],tblStages[Forecast Category],"Unknown")</calculatedColumnFormula>
    </tableColumn>
  </tableColumns>
  <tableStyleInfo name="TableStyleMedium2" showRowStripes="1"/>
</table>
</file>

<file path=xl/tables/table2.xml><?xml version="1.0" encoding="utf-8"?>
<table xmlns="http://schemas.openxmlformats.org/spreadsheetml/2006/main" id="2" name="tblStages" displayName="tblStages" ref="A1:C7" headerRowCount="1">
  <autoFilter ref="A1:C7"/>
  <tableColumns count="3">
    <tableColumn id="1" name="Stage"/>
    <tableColumn id="2" name="Probability"/>
    <tableColumn id="3" name="Forecast Categor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Opp ID</t>
        </is>
      </c>
      <c r="B1" s="1" t="inlineStr">
        <is>
          <t>Account</t>
        </is>
      </c>
      <c r="C1" s="1" t="inlineStr">
        <is>
          <t>Owner</t>
        </is>
      </c>
      <c r="D1" s="1" t="inlineStr">
        <is>
          <t>Stage</t>
        </is>
      </c>
      <c r="E1" s="1" t="inlineStr">
        <is>
          <t>Close Date</t>
        </is>
      </c>
      <c r="F1" s="1" t="inlineStr">
        <is>
          <t>Amount</t>
        </is>
      </c>
      <c r="G1" s="1" t="inlineStr">
        <is>
          <t>Probability</t>
        </is>
      </c>
      <c r="H1" s="1" t="inlineStr">
        <is>
          <t>Weighted Amount</t>
        </is>
      </c>
      <c r="I1" s="1" t="inlineStr">
        <is>
          <t>Forecast Category</t>
        </is>
      </c>
    </row>
    <row r="2">
      <c r="A2" t="inlineStr">
        <is>
          <t>OPP-1002</t>
        </is>
      </c>
      <c r="B2" t="inlineStr">
        <is>
          <t>Account C2</t>
        </is>
      </c>
      <c r="C2" t="inlineStr">
        <is>
          <t>Alex Kim</t>
        </is>
      </c>
      <c r="D2" t="inlineStr">
        <is>
          <t>Discovery</t>
        </is>
      </c>
      <c r="E2" s="2" t="n">
        <v>46227</v>
      </c>
      <c r="F2" t="n">
        <v>116000</v>
      </c>
      <c r="G2" s="3">
        <f>_xlfn.XLOOKUP(tblPipeline[[#This Row],[Stage]],tblStages[Stage],tblStages[Probability],0)</f>
        <v>0.2</v>
      </c>
      <c r="H2" s="4">
        <f>tblPipeline[[#This Row],[Amount]]*tblPipeline[[#This Row],[Probability]]</f>
        <v>23200</v>
      </c>
      <c r="I2" t="str">
        <f>_xlfn.XLOOKUP(tblPipeline[[#This Row],[Stage]],tblStages[Stage],tblStages[Forecast Category],"Unknown")</f>
        <v>Pipeline</v>
      </c>
    </row>
    <row r="3">
      <c r="A3" t="inlineStr">
        <is>
          <t>OPP-1003</t>
        </is>
      </c>
      <c r="B3" t="inlineStr">
        <is>
          <t>Account D3</t>
        </is>
      </c>
      <c r="C3" t="inlineStr">
        <is>
          <t>Priya Nair</t>
        </is>
      </c>
      <c r="D3" t="inlineStr">
        <is>
          <t>Prospect</t>
        </is>
      </c>
      <c r="E3" s="2" t="n">
        <v>46204</v>
      </c>
      <c r="F3" t="n">
        <v>117000</v>
      </c>
      <c r="G3" s="3">
        <f>_xlfn.XLOOKUP(tblPipeline[[#This Row],[Stage]],tblStages[Stage],tblStages[Probability],0)</f>
        <v>0.1</v>
      </c>
      <c r="H3" s="4">
        <f>tblPipeline[[#This Row],[Amount]]*tblPipeline[[#This Row],[Probability]]</f>
        <v>11700</v>
      </c>
      <c r="I3" t="str">
        <f>_xlfn.XLOOKUP(tblPipeline[[#This Row],[Stage]],tblStages[Stage],tblStages[Forecast Category],"Unknown")</f>
        <v>Pipeline</v>
      </c>
    </row>
    <row r="4">
      <c r="A4" t="inlineStr">
        <is>
          <t>OPP-1004</t>
        </is>
      </c>
      <c r="B4" t="inlineStr">
        <is>
          <t>Account E4</t>
        </is>
      </c>
      <c r="C4" t="inlineStr">
        <is>
          <t>Priya Nair</t>
        </is>
      </c>
      <c r="D4" t="inlineStr">
        <is>
          <t>Closed Won</t>
        </is>
      </c>
      <c r="E4" s="2" t="n">
        <v>46211</v>
      </c>
      <c r="F4" t="n">
        <v>148000</v>
      </c>
      <c r="G4" s="3">
        <f>_xlfn.XLOOKUP(tblPipeline[[#This Row],[Stage]],tblStages[Stage],tblStages[Probability],0)</f>
        <v>1</v>
      </c>
      <c r="H4" s="4">
        <f>tblPipeline[[#This Row],[Amount]]*tblPipeline[[#This Row],[Probability]]</f>
        <v>148000</v>
      </c>
      <c r="I4" t="str">
        <f>_xlfn.XLOOKUP(tblPipeline[[#This Row],[Stage]],tblStages[Stage],tblStages[Forecast Category],"Unknown")</f>
        <v>Closed</v>
      </c>
    </row>
    <row r="5">
      <c r="A5" t="inlineStr">
        <is>
          <t>OPP-1005</t>
        </is>
      </c>
      <c r="B5" t="inlineStr">
        <is>
          <t>Account F5</t>
        </is>
      </c>
      <c r="C5" t="inlineStr">
        <is>
          <t>Priya Nair</t>
        </is>
      </c>
      <c r="D5" t="inlineStr">
        <is>
          <t>Discovery</t>
        </is>
      </c>
      <c r="E5" s="2" t="n">
        <v>46261</v>
      </c>
      <c r="F5" t="n">
        <v>42000</v>
      </c>
      <c r="G5" s="3">
        <f>_xlfn.XLOOKUP(tblPipeline[[#This Row],[Stage]],tblStages[Stage],tblStages[Probability],0)</f>
        <v>0.2</v>
      </c>
      <c r="H5" s="4">
        <f>tblPipeline[[#This Row],[Amount]]*tblPipeline[[#This Row],[Probability]]</f>
        <v>8400</v>
      </c>
      <c r="I5" t="str">
        <f>_xlfn.XLOOKUP(tblPipeline[[#This Row],[Stage]],tblStages[Stage],tblStages[Forecast Category],"Unknown")</f>
        <v>Pipeline</v>
      </c>
    </row>
    <row r="6">
      <c r="A6" t="inlineStr">
        <is>
          <t>OPP-1006</t>
        </is>
      </c>
      <c r="B6" t="inlineStr">
        <is>
          <t>Account G6</t>
        </is>
      </c>
      <c r="C6" t="inlineStr">
        <is>
          <t>Priya Nair</t>
        </is>
      </c>
      <c r="D6" t="inlineStr">
        <is>
          <t>Discovery</t>
        </is>
      </c>
      <c r="E6" s="2" t="n">
        <v>46230</v>
      </c>
      <c r="F6" t="n">
        <v>179000</v>
      </c>
      <c r="G6" s="3">
        <f>_xlfn.XLOOKUP(tblPipeline[[#This Row],[Stage]],tblStages[Stage],tblStages[Probability],0)</f>
        <v>0.2</v>
      </c>
      <c r="H6" s="4">
        <f>tblPipeline[[#This Row],[Amount]]*tblPipeline[[#This Row],[Probability]]</f>
        <v>35800</v>
      </c>
      <c r="I6" t="str">
        <f>_xlfn.XLOOKUP(tblPipeline[[#This Row],[Stage]],tblStages[Stage],tblStages[Forecast Category],"Unknown")</f>
        <v>Pipeline</v>
      </c>
    </row>
    <row r="7">
      <c r="A7" t="inlineStr">
        <is>
          <t>OPP-1007</t>
        </is>
      </c>
      <c r="B7" t="inlineStr">
        <is>
          <t>Account H7</t>
        </is>
      </c>
      <c r="C7" t="inlineStr">
        <is>
          <t>Priya Nair</t>
        </is>
      </c>
      <c r="D7" t="inlineStr">
        <is>
          <t>Closed Won</t>
        </is>
      </c>
      <c r="E7" s="2" t="n">
        <v>46240</v>
      </c>
      <c r="F7" t="n">
        <v>94000</v>
      </c>
      <c r="G7" s="3">
        <f>_xlfn.XLOOKUP(tblPipeline[[#This Row],[Stage]],tblStages[Stage],tblStages[Probability],0)</f>
        <v>1</v>
      </c>
      <c r="H7" s="4">
        <f>tblPipeline[[#This Row],[Amount]]*tblPipeline[[#This Row],[Probability]]</f>
        <v>94000</v>
      </c>
      <c r="I7" t="str">
        <f>_xlfn.XLOOKUP(tblPipeline[[#This Row],[Stage]],tblStages[Stage],tblStages[Forecast Category],"Unknown")</f>
        <v>Closed</v>
      </c>
    </row>
    <row r="8">
      <c r="A8" t="inlineStr">
        <is>
          <t>OPP-1008</t>
        </is>
      </c>
      <c r="B8" t="inlineStr">
        <is>
          <t>Account I8</t>
        </is>
      </c>
      <c r="C8" t="inlineStr">
        <is>
          <t>Priya Nair</t>
        </is>
      </c>
      <c r="D8" t="inlineStr">
        <is>
          <t>Negotiation</t>
        </is>
      </c>
      <c r="E8" s="2" t="n">
        <v>46384</v>
      </c>
      <c r="F8" t="n">
        <v>232000</v>
      </c>
      <c r="G8" s="3">
        <f>_xlfn.XLOOKUP(tblPipeline[[#This Row],[Stage]],tblStages[Stage],tblStages[Probability],0)</f>
        <v>0.7</v>
      </c>
      <c r="H8" s="4">
        <f>tblPipeline[[#This Row],[Amount]]*tblPipeline[[#This Row],[Probability]]</f>
        <v>162400</v>
      </c>
      <c r="I8" t="str">
        <f>_xlfn.XLOOKUP(tblPipeline[[#This Row],[Stage]],tblStages[Stage],tblStages[Forecast Category],"Unknown")</f>
        <v>Commit</v>
      </c>
    </row>
    <row r="9">
      <c r="A9" t="inlineStr">
        <is>
          <t>OPP-1009</t>
        </is>
      </c>
      <c r="B9" t="inlineStr">
        <is>
          <t>Account J9</t>
        </is>
      </c>
      <c r="C9" t="inlineStr">
        <is>
          <t>Alex Kim</t>
        </is>
      </c>
      <c r="D9" t="inlineStr">
        <is>
          <t>Prospect</t>
        </is>
      </c>
      <c r="E9" s="2" t="n">
        <v>46337</v>
      </c>
      <c r="F9" t="n">
        <v>186000</v>
      </c>
      <c r="G9" s="3">
        <f>_xlfn.XLOOKUP(tblPipeline[[#This Row],[Stage]],tblStages[Stage],tblStages[Probability],0)</f>
        <v>0.1</v>
      </c>
      <c r="H9" s="4">
        <f>tblPipeline[[#This Row],[Amount]]*tblPipeline[[#This Row],[Probability]]</f>
        <v>18600</v>
      </c>
      <c r="I9" t="str">
        <f>_xlfn.XLOOKUP(tblPipeline[[#This Row],[Stage]],tblStages[Stage],tblStages[Forecast Category],"Unknown")</f>
        <v>Pipeline</v>
      </c>
    </row>
    <row r="10">
      <c r="A10" t="inlineStr">
        <is>
          <t>OPP-1010</t>
        </is>
      </c>
      <c r="B10" t="inlineStr">
        <is>
          <t>Account K10</t>
        </is>
      </c>
      <c r="C10" t="inlineStr">
        <is>
          <t>Priya Nair</t>
        </is>
      </c>
      <c r="D10" t="inlineStr">
        <is>
          <t>Proposal</t>
        </is>
      </c>
      <c r="E10" s="2" t="n">
        <v>46242</v>
      </c>
      <c r="F10" t="n">
        <v>136000</v>
      </c>
      <c r="G10" s="3">
        <f>_xlfn.XLOOKUP(tblPipeline[[#This Row],[Stage]],tblStages[Stage],tblStages[Probability],0)</f>
        <v>0.4</v>
      </c>
      <c r="H10" s="4">
        <f>tblPipeline[[#This Row],[Amount]]*tblPipeline[[#This Row],[Probability]]</f>
        <v>54400</v>
      </c>
      <c r="I10" t="str">
        <f>_xlfn.XLOOKUP(tblPipeline[[#This Row],[Stage]],tblStages[Stage],tblStages[Forecast Category],"Unknown")</f>
        <v>Best Case</v>
      </c>
    </row>
    <row r="11">
      <c r="A11" t="inlineStr">
        <is>
          <t>OPP-1011</t>
        </is>
      </c>
      <c r="B11" t="inlineStr">
        <is>
          <t>Account L11</t>
        </is>
      </c>
      <c r="C11" t="inlineStr">
        <is>
          <t>Jordan Lee</t>
        </is>
      </c>
      <c r="D11" t="inlineStr">
        <is>
          <t>Prospect</t>
        </is>
      </c>
      <c r="E11" s="2" t="n">
        <v>46353</v>
      </c>
      <c r="F11" t="n">
        <v>91000</v>
      </c>
      <c r="G11" s="3">
        <f>_xlfn.XLOOKUP(tblPipeline[[#This Row],[Stage]],tblStages[Stage],tblStages[Probability],0)</f>
        <v>0.1</v>
      </c>
      <c r="H11" s="4">
        <f>tblPipeline[[#This Row],[Amount]]*tblPipeline[[#This Row],[Probability]]</f>
        <v>9100</v>
      </c>
      <c r="I11" t="str">
        <f>_xlfn.XLOOKUP(tblPipeline[[#This Row],[Stage]],tblStages[Stage],tblStages[Forecast Category],"Unknown")</f>
        <v>Pipeline</v>
      </c>
    </row>
    <row r="12">
      <c r="A12" t="inlineStr">
        <is>
          <t>OPP-1012</t>
        </is>
      </c>
      <c r="B12" t="inlineStr">
        <is>
          <t>Account M12</t>
        </is>
      </c>
      <c r="C12" t="inlineStr">
        <is>
          <t>Priya Nair</t>
        </is>
      </c>
      <c r="D12" t="inlineStr">
        <is>
          <t>Closed Lost</t>
        </is>
      </c>
      <c r="E12" s="2" t="n">
        <v>46349</v>
      </c>
      <c r="F12" t="n">
        <v>240000</v>
      </c>
      <c r="G12" s="3">
        <f>_xlfn.XLOOKUP(tblPipeline[[#This Row],[Stage]],tblStages[Stage],tblStages[Probability],0)</f>
        <v>0</v>
      </c>
      <c r="H12" s="4">
        <f>tblPipeline[[#This Row],[Amount]]*tblPipeline[[#This Row],[Probability]]</f>
        <v>0</v>
      </c>
      <c r="I12" t="str">
        <f>_xlfn.XLOOKUP(tblPipeline[[#This Row],[Stage]],tblStages[Stage],tblStages[Forecast Category],"Unknown")</f>
        <v>Omitted</v>
      </c>
    </row>
    <row r="13">
      <c r="A13" t="inlineStr">
        <is>
          <t>OPP-1013</t>
        </is>
      </c>
      <c r="B13" t="inlineStr">
        <is>
          <t>Account N13</t>
        </is>
      </c>
      <c r="C13" t="inlineStr">
        <is>
          <t>Alex Kim</t>
        </is>
      </c>
      <c r="D13" t="inlineStr">
        <is>
          <t>Closed Won</t>
        </is>
      </c>
      <c r="E13" s="2" t="n">
        <v>46333</v>
      </c>
      <c r="F13" t="n">
        <v>120000</v>
      </c>
      <c r="G13" s="3">
        <f>_xlfn.XLOOKUP(tblPipeline[[#This Row],[Stage]],tblStages[Stage],tblStages[Probability],0)</f>
        <v>1</v>
      </c>
      <c r="H13" s="4">
        <f>tblPipeline[[#This Row],[Amount]]*tblPipeline[[#This Row],[Probability]]</f>
        <v>120000</v>
      </c>
      <c r="I13" t="str">
        <f>_xlfn.XLOOKUP(tblPipeline[[#This Row],[Stage]],tblStages[Stage],tblStages[Forecast Category],"Unknown")</f>
        <v>Closed</v>
      </c>
    </row>
    <row r="14">
      <c r="A14" t="inlineStr">
        <is>
          <t>OPP-1014</t>
        </is>
      </c>
      <c r="B14" t="inlineStr">
        <is>
          <t>Account O14</t>
        </is>
      </c>
      <c r="C14" t="inlineStr">
        <is>
          <t>Sam Ortiz</t>
        </is>
      </c>
      <c r="D14" t="inlineStr">
        <is>
          <t>Proposal</t>
        </is>
      </c>
      <c r="E14" s="2" t="n">
        <v>46310</v>
      </c>
      <c r="F14" t="n">
        <v>56000</v>
      </c>
      <c r="G14" s="3">
        <f>_xlfn.XLOOKUP(tblPipeline[[#This Row],[Stage]],tblStages[Stage],tblStages[Probability],0)</f>
        <v>0.4</v>
      </c>
      <c r="H14" s="4">
        <f>tblPipeline[[#This Row],[Amount]]*tblPipeline[[#This Row],[Probability]]</f>
        <v>22400</v>
      </c>
      <c r="I14" t="str">
        <f>_xlfn.XLOOKUP(tblPipeline[[#This Row],[Stage]],tblStages[Stage],tblStages[Forecast Category],"Unknown")</f>
        <v>Best Case</v>
      </c>
    </row>
    <row r="15">
      <c r="A15" t="inlineStr">
        <is>
          <t>OPP-1015</t>
        </is>
      </c>
      <c r="B15" t="inlineStr">
        <is>
          <t>Account P15</t>
        </is>
      </c>
      <c r="C15" t="inlineStr">
        <is>
          <t>Alex Kim</t>
        </is>
      </c>
      <c r="D15" t="inlineStr">
        <is>
          <t>Discovery</t>
        </is>
      </c>
      <c r="E15" s="2" t="n">
        <v>46206</v>
      </c>
      <c r="F15" t="n">
        <v>26000</v>
      </c>
      <c r="G15" s="3">
        <f>_xlfn.XLOOKUP(tblPipeline[[#This Row],[Stage]],tblStages[Stage],tblStages[Probability],0)</f>
        <v>0.2</v>
      </c>
      <c r="H15" s="4">
        <f>tblPipeline[[#This Row],[Amount]]*tblPipeline[[#This Row],[Probability]]</f>
        <v>5200</v>
      </c>
      <c r="I15" t="str">
        <f>_xlfn.XLOOKUP(tblPipeline[[#This Row],[Stage]],tblStages[Stage],tblStages[Forecast Category],"Unknown")</f>
        <v>Pipeline</v>
      </c>
    </row>
    <row r="16">
      <c r="A16" t="inlineStr">
        <is>
          <t>OPP-1016</t>
        </is>
      </c>
      <c r="B16" t="inlineStr">
        <is>
          <t>Account Q16</t>
        </is>
      </c>
      <c r="C16" t="inlineStr">
        <is>
          <t>Alex Kim</t>
        </is>
      </c>
      <c r="D16" t="inlineStr">
        <is>
          <t>Negotiation</t>
        </is>
      </c>
      <c r="E16" s="2" t="n">
        <v>46282</v>
      </c>
      <c r="F16" t="n">
        <v>151000</v>
      </c>
      <c r="G16" s="3">
        <f>_xlfn.XLOOKUP(tblPipeline[[#This Row],[Stage]],tblStages[Stage],tblStages[Probability],0)</f>
        <v>0.7</v>
      </c>
      <c r="H16" s="4">
        <f>tblPipeline[[#This Row],[Amount]]*tblPipeline[[#This Row],[Probability]]</f>
        <v>105700</v>
      </c>
      <c r="I16" t="str">
        <f>_xlfn.XLOOKUP(tblPipeline[[#This Row],[Stage]],tblStages[Stage],tblStages[Forecast Category],"Unknown")</f>
        <v>Commit</v>
      </c>
    </row>
    <row r="17">
      <c r="A17" t="inlineStr">
        <is>
          <t>OPP-1017</t>
        </is>
      </c>
      <c r="B17" t="inlineStr">
        <is>
          <t>Account R17</t>
        </is>
      </c>
      <c r="C17" t="inlineStr">
        <is>
          <t>Jordan Lee</t>
        </is>
      </c>
      <c r="D17" t="inlineStr">
        <is>
          <t>Negotiation</t>
        </is>
      </c>
      <c r="E17" s="2" t="n">
        <v>46256</v>
      </c>
      <c r="F17" t="n">
        <v>65000</v>
      </c>
      <c r="G17" s="3">
        <f>_xlfn.XLOOKUP(tblPipeline[[#This Row],[Stage]],tblStages[Stage],tblStages[Probability],0)</f>
        <v>0.7</v>
      </c>
      <c r="H17" s="4">
        <f>tblPipeline[[#This Row],[Amount]]*tblPipeline[[#This Row],[Probability]]</f>
        <v>45500</v>
      </c>
      <c r="I17" t="str">
        <f>_xlfn.XLOOKUP(tblPipeline[[#This Row],[Stage]],tblStages[Stage],tblStages[Forecast Category],"Unknown")</f>
        <v>Commit</v>
      </c>
    </row>
    <row r="18">
      <c r="A18" t="inlineStr">
        <is>
          <t>OPP-1018</t>
        </is>
      </c>
      <c r="B18" t="inlineStr">
        <is>
          <t>Account S18</t>
        </is>
      </c>
      <c r="C18" t="inlineStr">
        <is>
          <t>Alex Kim</t>
        </is>
      </c>
      <c r="D18" t="inlineStr">
        <is>
          <t>Proposal</t>
        </is>
      </c>
      <c r="E18" s="2" t="n">
        <v>46255</v>
      </c>
      <c r="F18" t="n">
        <v>176000</v>
      </c>
      <c r="G18" s="3">
        <f>_xlfn.XLOOKUP(tblPipeline[[#This Row],[Stage]],tblStages[Stage],tblStages[Probability],0)</f>
        <v>0.4</v>
      </c>
      <c r="H18" s="4">
        <f>tblPipeline[[#This Row],[Amount]]*tblPipeline[[#This Row],[Probability]]</f>
        <v>70400</v>
      </c>
      <c r="I18" t="str">
        <f>_xlfn.XLOOKUP(tblPipeline[[#This Row],[Stage]],tblStages[Stage],tblStages[Forecast Category],"Unknown")</f>
        <v>Best Case</v>
      </c>
    </row>
    <row r="19">
      <c r="A19" t="inlineStr">
        <is>
          <t>OPP-1019</t>
        </is>
      </c>
      <c r="B19" t="inlineStr">
        <is>
          <t>Account T19</t>
        </is>
      </c>
      <c r="C19" t="inlineStr">
        <is>
          <t>Priya Nair</t>
        </is>
      </c>
      <c r="D19" t="inlineStr">
        <is>
          <t>Discovery</t>
        </is>
      </c>
      <c r="E19" s="2" t="n">
        <v>46279</v>
      </c>
      <c r="F19" t="n">
        <v>206000</v>
      </c>
      <c r="G19" s="3">
        <f>_xlfn.XLOOKUP(tblPipeline[[#This Row],[Stage]],tblStages[Stage],tblStages[Probability],0)</f>
        <v>0.2</v>
      </c>
      <c r="H19" s="4">
        <f>tblPipeline[[#This Row],[Amount]]*tblPipeline[[#This Row],[Probability]]</f>
        <v>41200</v>
      </c>
      <c r="I19" t="str">
        <f>_xlfn.XLOOKUP(tblPipeline[[#This Row],[Stage]],tblStages[Stage],tblStages[Forecast Category],"Unknown")</f>
        <v>Pipeline</v>
      </c>
    </row>
    <row r="20">
      <c r="A20" t="inlineStr">
        <is>
          <t>OPP-1020</t>
        </is>
      </c>
      <c r="B20" t="inlineStr">
        <is>
          <t>Account U20</t>
        </is>
      </c>
      <c r="C20" t="inlineStr">
        <is>
          <t>Jordan Lee</t>
        </is>
      </c>
      <c r="D20" t="inlineStr">
        <is>
          <t>Negotiation</t>
        </is>
      </c>
      <c r="E20" s="2" t="n">
        <v>46245</v>
      </c>
      <c r="F20" t="n">
        <v>40000</v>
      </c>
      <c r="G20" s="3">
        <f>_xlfn.XLOOKUP(tblPipeline[[#This Row],[Stage]],tblStages[Stage],tblStages[Probability],0)</f>
        <v>0.7</v>
      </c>
      <c r="H20" s="4">
        <f>tblPipeline[[#This Row],[Amount]]*tblPipeline[[#This Row],[Probability]]</f>
        <v>28000</v>
      </c>
      <c r="I20" t="str">
        <f>_xlfn.XLOOKUP(tblPipeline[[#This Row],[Stage]],tblStages[Stage],tblStages[Forecast Category],"Unknown")</f>
        <v>Commit</v>
      </c>
    </row>
    <row r="21">
      <c r="A21" t="inlineStr">
        <is>
          <t>OPP-1021</t>
        </is>
      </c>
      <c r="B21" t="inlineStr">
        <is>
          <t>Account V21</t>
        </is>
      </c>
      <c r="C21" t="inlineStr">
        <is>
          <t>Sam Ortiz</t>
        </is>
      </c>
      <c r="D21" t="inlineStr">
        <is>
          <t>Negotiation</t>
        </is>
      </c>
      <c r="E21" s="2" t="n">
        <v>46290</v>
      </c>
      <c r="F21" t="n">
        <v>164000</v>
      </c>
      <c r="G21" s="3">
        <f>_xlfn.XLOOKUP(tblPipeline[[#This Row],[Stage]],tblStages[Stage],tblStages[Probability],0)</f>
        <v>0.7</v>
      </c>
      <c r="H21" s="4">
        <f>tblPipeline[[#This Row],[Amount]]*tblPipeline[[#This Row],[Probability]]</f>
        <v>114799.99999999999</v>
      </c>
      <c r="I21" t="str">
        <f>_xlfn.XLOOKUP(tblPipeline[[#This Row],[Stage]],tblStages[Stage],tblStages[Forecast Category],"Unknown")</f>
        <v>Commit</v>
      </c>
    </row>
    <row r="22">
      <c r="A22" t="inlineStr">
        <is>
          <t>OPP-1022</t>
        </is>
      </c>
      <c r="B22" t="inlineStr">
        <is>
          <t>Account W22</t>
        </is>
      </c>
      <c r="C22" t="inlineStr">
        <is>
          <t>Jordan Lee</t>
        </is>
      </c>
      <c r="D22" t="inlineStr">
        <is>
          <t>Prospect</t>
        </is>
      </c>
      <c r="E22" s="2" t="n">
        <v>46244</v>
      </c>
      <c r="F22" t="n">
        <v>132000</v>
      </c>
      <c r="G22" s="3">
        <f>_xlfn.XLOOKUP(tblPipeline[[#This Row],[Stage]],tblStages[Stage],tblStages[Probability],0)</f>
        <v>0.1</v>
      </c>
      <c r="H22" s="4">
        <f>tblPipeline[[#This Row],[Amount]]*tblPipeline[[#This Row],[Probability]]</f>
        <v>13200</v>
      </c>
      <c r="I22" t="str">
        <f>_xlfn.XLOOKUP(tblPipeline[[#This Row],[Stage]],tblStages[Stage],tblStages[Forecast Category],"Unknown")</f>
        <v>Pipeline</v>
      </c>
    </row>
    <row r="23">
      <c r="A23" t="inlineStr">
        <is>
          <t>OPP-1023</t>
        </is>
      </c>
      <c r="B23" t="inlineStr">
        <is>
          <t>Account X23</t>
        </is>
      </c>
      <c r="C23" t="inlineStr">
        <is>
          <t>Priya Nair</t>
        </is>
      </c>
      <c r="D23" t="inlineStr">
        <is>
          <t>Prospect</t>
        </is>
      </c>
      <c r="E23" s="2" t="n">
        <v>46359</v>
      </c>
      <c r="F23" t="n">
        <v>244000</v>
      </c>
      <c r="G23" s="3">
        <f>_xlfn.XLOOKUP(tblPipeline[[#This Row],[Stage]],tblStages[Stage],tblStages[Probability],0)</f>
        <v>0.1</v>
      </c>
      <c r="H23" s="4">
        <f>tblPipeline[[#This Row],[Amount]]*tblPipeline[[#This Row],[Probability]]</f>
        <v>24400</v>
      </c>
      <c r="I23" t="str">
        <f>_xlfn.XLOOKUP(tblPipeline[[#This Row],[Stage]],tblStages[Stage],tblStages[Forecast Category],"Unknown")</f>
        <v>Pipeline</v>
      </c>
    </row>
    <row r="24">
      <c r="A24" t="inlineStr">
        <is>
          <t>OPP-1024</t>
        </is>
      </c>
      <c r="B24" t="inlineStr">
        <is>
          <t>Account Y24</t>
        </is>
      </c>
      <c r="C24" t="inlineStr">
        <is>
          <t>Priya Nair</t>
        </is>
      </c>
      <c r="D24" t="inlineStr">
        <is>
          <t>Negotiation</t>
        </is>
      </c>
      <c r="E24" s="2" t="n">
        <v>46266</v>
      </c>
      <c r="F24" t="n">
        <v>97000</v>
      </c>
      <c r="G24" s="3">
        <f>_xlfn.XLOOKUP(tblPipeline[[#This Row],[Stage]],tblStages[Stage],tblStages[Probability],0)</f>
        <v>0.7</v>
      </c>
      <c r="H24" s="4">
        <f>tblPipeline[[#This Row],[Amount]]*tblPipeline[[#This Row],[Probability]]</f>
        <v>67900</v>
      </c>
      <c r="I24" t="str">
        <f>_xlfn.XLOOKUP(tblPipeline[[#This Row],[Stage]],tblStages[Stage],tblStages[Forecast Category],"Unknown")</f>
        <v>Commit</v>
      </c>
    </row>
    <row r="25">
      <c r="A25" t="inlineStr">
        <is>
          <t>OPP-1025</t>
        </is>
      </c>
      <c r="B25" t="inlineStr">
        <is>
          <t>Account Z25</t>
        </is>
      </c>
      <c r="C25" t="inlineStr">
        <is>
          <t>Alex Kim</t>
        </is>
      </c>
      <c r="D25" t="inlineStr">
        <is>
          <t>Discovery</t>
        </is>
      </c>
      <c r="E25" s="2" t="n">
        <v>46259</v>
      </c>
      <c r="F25" t="n">
        <v>181000</v>
      </c>
      <c r="G25" s="3">
        <f>_xlfn.XLOOKUP(tblPipeline[[#This Row],[Stage]],tblStages[Stage],tblStages[Probability],0)</f>
        <v>0.2</v>
      </c>
      <c r="H25" s="4">
        <f>tblPipeline[[#This Row],[Amount]]*tblPipeline[[#This Row],[Probability]]</f>
        <v>36200</v>
      </c>
      <c r="I25" t="str">
        <f>_xlfn.XLOOKUP(tblPipeline[[#This Row],[Stage]],tblStages[Stage],tblStages[Forecast Category],"Unknown")</f>
        <v>Pipeline</v>
      </c>
    </row>
    <row r="26">
      <c r="A26" t="inlineStr">
        <is>
          <t>OPP-1026</t>
        </is>
      </c>
      <c r="B26" t="inlineStr">
        <is>
          <t>Account A26</t>
        </is>
      </c>
      <c r="C26" t="inlineStr">
        <is>
          <t>Jordan Lee</t>
        </is>
      </c>
      <c r="D26" t="inlineStr">
        <is>
          <t>Closed Won</t>
        </is>
      </c>
      <c r="E26" s="2" t="n">
        <v>46348</v>
      </c>
      <c r="F26" t="n">
        <v>224000</v>
      </c>
      <c r="G26" s="3">
        <f>_xlfn.XLOOKUP(tblPipeline[[#This Row],[Stage]],tblStages[Stage],tblStages[Probability],0)</f>
        <v>1</v>
      </c>
      <c r="H26" s="4">
        <f>tblPipeline[[#This Row],[Amount]]*tblPipeline[[#This Row],[Probability]]</f>
        <v>224000</v>
      </c>
      <c r="I26" t="str">
        <f>_xlfn.XLOOKUP(tblPipeline[[#This Row],[Stage]],tblStages[Stage],tblStages[Forecast Category],"Unknown")</f>
        <v>Closed</v>
      </c>
    </row>
    <row r="27">
      <c r="A27" t="inlineStr">
        <is>
          <t>OPP-1027</t>
        </is>
      </c>
      <c r="B27" t="inlineStr">
        <is>
          <t>Account B27</t>
        </is>
      </c>
      <c r="C27" t="inlineStr">
        <is>
          <t>Sam Ortiz</t>
        </is>
      </c>
      <c r="D27" t="inlineStr">
        <is>
          <t>Discovery</t>
        </is>
      </c>
      <c r="E27" s="2" t="n">
        <v>46249</v>
      </c>
      <c r="F27" t="n">
        <v>89000</v>
      </c>
      <c r="G27" s="3">
        <f>_xlfn.XLOOKUP(tblPipeline[[#This Row],[Stage]],tblStages[Stage],tblStages[Probability],0)</f>
        <v>0.2</v>
      </c>
      <c r="H27" s="4">
        <f>tblPipeline[[#This Row],[Amount]]*tblPipeline[[#This Row],[Probability]]</f>
        <v>17800</v>
      </c>
      <c r="I27" t="str">
        <f>_xlfn.XLOOKUP(tblPipeline[[#This Row],[Stage]],tblStages[Stage],tblStages[Forecast Category],"Unknown")</f>
        <v>Pipeline</v>
      </c>
    </row>
    <row r="28">
      <c r="A28" t="inlineStr">
        <is>
          <t>OPP-1028</t>
        </is>
      </c>
      <c r="B28" t="inlineStr">
        <is>
          <t>Account C28</t>
        </is>
      </c>
      <c r="C28" t="inlineStr">
        <is>
          <t>Jordan Lee</t>
        </is>
      </c>
      <c r="D28" t="inlineStr">
        <is>
          <t>Discovery</t>
        </is>
      </c>
      <c r="E28" s="2" t="n">
        <v>46332</v>
      </c>
      <c r="F28" t="n">
        <v>99000</v>
      </c>
      <c r="G28" s="3">
        <f>_xlfn.XLOOKUP(tblPipeline[[#This Row],[Stage]],tblStages[Stage],tblStages[Probability],0)</f>
        <v>0.2</v>
      </c>
      <c r="H28" s="4">
        <f>tblPipeline[[#This Row],[Amount]]*tblPipeline[[#This Row],[Probability]]</f>
        <v>19800</v>
      </c>
      <c r="I28" t="str">
        <f>_xlfn.XLOOKUP(tblPipeline[[#This Row],[Stage]],tblStages[Stage],tblStages[Forecast Category],"Unknown")</f>
        <v>Pipeline</v>
      </c>
    </row>
    <row r="29">
      <c r="A29" t="inlineStr">
        <is>
          <t>OPP-1029</t>
        </is>
      </c>
      <c r="B29" t="inlineStr">
        <is>
          <t>Account D29</t>
        </is>
      </c>
      <c r="C29" t="inlineStr">
        <is>
          <t>Priya Nair</t>
        </is>
      </c>
      <c r="D29" t="inlineStr">
        <is>
          <t>Discovery</t>
        </is>
      </c>
      <c r="E29" s="2" t="n">
        <v>46301</v>
      </c>
      <c r="F29" t="n">
        <v>108000</v>
      </c>
      <c r="G29" s="3">
        <f>_xlfn.XLOOKUP(tblPipeline[[#This Row],[Stage]],tblStages[Stage],tblStages[Probability],0)</f>
        <v>0.2</v>
      </c>
      <c r="H29" s="4">
        <f>tblPipeline[[#This Row],[Amount]]*tblPipeline[[#This Row],[Probability]]</f>
        <v>21600</v>
      </c>
      <c r="I29" t="str">
        <f>_xlfn.XLOOKUP(tblPipeline[[#This Row],[Stage]],tblStages[Stage],tblStages[Forecast Category],"Unknown")</f>
        <v>Pipeline</v>
      </c>
    </row>
    <row r="30">
      <c r="A30" t="inlineStr">
        <is>
          <t>OPP-1030</t>
        </is>
      </c>
      <c r="B30" t="inlineStr">
        <is>
          <t>Account E30</t>
        </is>
      </c>
      <c r="C30" t="inlineStr">
        <is>
          <t>Sam Ortiz</t>
        </is>
      </c>
      <c r="D30" t="inlineStr">
        <is>
          <t>Closed Lost</t>
        </is>
      </c>
      <c r="E30" s="2" t="n">
        <v>46330</v>
      </c>
      <c r="F30" t="n">
        <v>127000</v>
      </c>
      <c r="G30" s="3">
        <f>_xlfn.XLOOKUP(tblPipeline[[#This Row],[Stage]],tblStages[Stage],tblStages[Probability],0)</f>
        <v>0</v>
      </c>
      <c r="H30" s="4">
        <f>tblPipeline[[#This Row],[Amount]]*tblPipeline[[#This Row],[Probability]]</f>
        <v>0</v>
      </c>
      <c r="I30" t="str">
        <f>_xlfn.XLOOKUP(tblPipeline[[#This Row],[Stage]],tblStages[Stage],tblStages[Forecast Category],"Unknown")</f>
        <v>Omitted</v>
      </c>
    </row>
    <row r="31">
      <c r="A31" t="inlineStr">
        <is>
          <t>OPP-1031</t>
        </is>
      </c>
      <c r="B31" t="inlineStr">
        <is>
          <t>Account F31</t>
        </is>
      </c>
      <c r="C31" t="inlineStr">
        <is>
          <t>Jordan Lee</t>
        </is>
      </c>
      <c r="D31" t="inlineStr">
        <is>
          <t>Proposal</t>
        </is>
      </c>
      <c r="E31" s="2" t="n">
        <v>46238</v>
      </c>
      <c r="F31" t="n">
        <v>30000</v>
      </c>
      <c r="G31" s="3">
        <f>_xlfn.XLOOKUP(tblPipeline[[#This Row],[Stage]],tblStages[Stage],tblStages[Probability],0)</f>
        <v>0.4</v>
      </c>
      <c r="H31" s="4">
        <f>tblPipeline[[#This Row],[Amount]]*tblPipeline[[#This Row],[Probability]]</f>
        <v>12000</v>
      </c>
      <c r="I31" t="str">
        <f>_xlfn.XLOOKUP(tblPipeline[[#This Row],[Stage]],tblStages[Stage],tblStages[Forecast Category],"Unknown")</f>
        <v>Best Case</v>
      </c>
    </row>
    <row r="32">
      <c r="A32" t="inlineStr">
        <is>
          <t>OPP-1032</t>
        </is>
      </c>
      <c r="B32" t="inlineStr">
        <is>
          <t>Account G32</t>
        </is>
      </c>
      <c r="C32" t="inlineStr">
        <is>
          <t>Sam Ortiz</t>
        </is>
      </c>
      <c r="D32" t="inlineStr">
        <is>
          <t>Prospect</t>
        </is>
      </c>
      <c r="E32" s="2" t="n">
        <v>46254</v>
      </c>
      <c r="F32" t="n">
        <v>188000</v>
      </c>
      <c r="G32" s="3">
        <f>_xlfn.XLOOKUP(tblPipeline[[#This Row],[Stage]],tblStages[Stage],tblStages[Probability],0)</f>
        <v>0.1</v>
      </c>
      <c r="H32" s="4">
        <f>tblPipeline[[#This Row],[Amount]]*tblPipeline[[#This Row],[Probability]]</f>
        <v>18800</v>
      </c>
      <c r="I32" t="str">
        <f>_xlfn.XLOOKUP(tblPipeline[[#This Row],[Stage]],tblStages[Stage],tblStages[Forecast Category],"Unknown")</f>
        <v>Pipeline</v>
      </c>
    </row>
    <row r="33">
      <c r="A33" t="inlineStr">
        <is>
          <t>OPP-1033</t>
        </is>
      </c>
      <c r="B33" t="inlineStr">
        <is>
          <t>Account H33</t>
        </is>
      </c>
      <c r="C33" t="inlineStr">
        <is>
          <t>Sam Ortiz</t>
        </is>
      </c>
      <c r="D33" t="inlineStr">
        <is>
          <t>Proposal</t>
        </is>
      </c>
      <c r="E33" s="2" t="n">
        <v>46342</v>
      </c>
      <c r="F33" t="n">
        <v>164000</v>
      </c>
      <c r="G33" s="3">
        <f>_xlfn.XLOOKUP(tblPipeline[[#This Row],[Stage]],tblStages[Stage],tblStages[Probability],0)</f>
        <v>0.4</v>
      </c>
      <c r="H33" s="4">
        <f>tblPipeline[[#This Row],[Amount]]*tblPipeline[[#This Row],[Probability]]</f>
        <v>65600</v>
      </c>
      <c r="I33" t="str">
        <f>_xlfn.XLOOKUP(tblPipeline[[#This Row],[Stage]],tblStages[Stage],tblStages[Forecast Category],"Unknown")</f>
        <v>Best Case</v>
      </c>
    </row>
    <row r="34">
      <c r="A34" t="inlineStr">
        <is>
          <t>OPP-1034</t>
        </is>
      </c>
      <c r="B34" t="inlineStr">
        <is>
          <t>Account I34</t>
        </is>
      </c>
      <c r="C34" t="inlineStr">
        <is>
          <t>Priya Nair</t>
        </is>
      </c>
      <c r="D34" t="inlineStr">
        <is>
          <t>Discovery</t>
        </is>
      </c>
      <c r="E34" s="2" t="n">
        <v>46207</v>
      </c>
      <c r="F34" t="n">
        <v>228000</v>
      </c>
      <c r="G34" s="3">
        <f>_xlfn.XLOOKUP(tblPipeline[[#This Row],[Stage]],tblStages[Stage],tblStages[Probability],0)</f>
        <v>0.2</v>
      </c>
      <c r="H34" s="4">
        <f>tblPipeline[[#This Row],[Amount]]*tblPipeline[[#This Row],[Probability]]</f>
        <v>45600</v>
      </c>
      <c r="I34" t="str">
        <f>_xlfn.XLOOKUP(tblPipeline[[#This Row],[Stage]],tblStages[Stage],tblStages[Forecast Category],"Unknown")</f>
        <v>Pipeline</v>
      </c>
    </row>
    <row r="35">
      <c r="A35" t="inlineStr">
        <is>
          <t>OPP-1035</t>
        </is>
      </c>
      <c r="B35" t="inlineStr">
        <is>
          <t>Account J35</t>
        </is>
      </c>
      <c r="C35" t="inlineStr">
        <is>
          <t>Alex Kim</t>
        </is>
      </c>
      <c r="D35" t="inlineStr">
        <is>
          <t>Negotiation</t>
        </is>
      </c>
      <c r="E35" s="2" t="n">
        <v>46316</v>
      </c>
      <c r="F35" t="n">
        <v>66000</v>
      </c>
      <c r="G35" s="3">
        <f>_xlfn.XLOOKUP(tblPipeline[[#This Row],[Stage]],tblStages[Stage],tblStages[Probability],0)</f>
        <v>0.7</v>
      </c>
      <c r="H35" s="4">
        <f>tblPipeline[[#This Row],[Amount]]*tblPipeline[[#This Row],[Probability]]</f>
        <v>46200</v>
      </c>
      <c r="I35" t="str">
        <f>_xlfn.XLOOKUP(tblPipeline[[#This Row],[Stage]],tblStages[Stage],tblStages[Forecast Category],"Unknown")</f>
        <v>Commit</v>
      </c>
    </row>
    <row r="36">
      <c r="A36" t="inlineStr">
        <is>
          <t>OPP-1036</t>
        </is>
      </c>
      <c r="B36" t="inlineStr">
        <is>
          <t>Account K36</t>
        </is>
      </c>
      <c r="C36" t="inlineStr">
        <is>
          <t>Jordan Lee</t>
        </is>
      </c>
      <c r="D36" t="inlineStr">
        <is>
          <t>Discovery</t>
        </is>
      </c>
      <c r="E36" s="2" t="n">
        <v>46309</v>
      </c>
      <c r="F36" t="n">
        <v>140000</v>
      </c>
      <c r="G36" s="3">
        <f>_xlfn.XLOOKUP(tblPipeline[[#This Row],[Stage]],tblStages[Stage],tblStages[Probability],0)</f>
        <v>0.2</v>
      </c>
      <c r="H36" s="4">
        <f>tblPipeline[[#This Row],[Amount]]*tblPipeline[[#This Row],[Probability]]</f>
        <v>28000</v>
      </c>
      <c r="I36" t="str">
        <f>_xlfn.XLOOKUP(tblPipeline[[#This Row],[Stage]],tblStages[Stage],tblStages[Forecast Category],"Unknown")</f>
        <v>Pipeline</v>
      </c>
    </row>
    <row r="37">
      <c r="A37" t="inlineStr">
        <is>
          <t>OPP-1037</t>
        </is>
      </c>
      <c r="B37" t="inlineStr">
        <is>
          <t>Account L37</t>
        </is>
      </c>
      <c r="C37" t="inlineStr">
        <is>
          <t>Alex Kim</t>
        </is>
      </c>
      <c r="D37" t="inlineStr">
        <is>
          <t>Discovery</t>
        </is>
      </c>
      <c r="E37" s="2" t="n">
        <v>46303</v>
      </c>
      <c r="F37" t="n">
        <v>180000</v>
      </c>
      <c r="G37" s="3">
        <f>_xlfn.XLOOKUP(tblPipeline[[#This Row],[Stage]],tblStages[Stage],tblStages[Probability],0)</f>
        <v>0.2</v>
      </c>
      <c r="H37" s="4">
        <f>tblPipeline[[#This Row],[Amount]]*tblPipeline[[#This Row],[Probability]]</f>
        <v>36000</v>
      </c>
      <c r="I37" t="str">
        <f>_xlfn.XLOOKUP(tblPipeline[[#This Row],[Stage]],tblStages[Stage],tblStages[Forecast Category],"Unknown")</f>
        <v>Pipeline</v>
      </c>
    </row>
    <row r="38">
      <c r="A38" t="inlineStr">
        <is>
          <t>OPP-1038</t>
        </is>
      </c>
      <c r="B38" t="inlineStr">
        <is>
          <t>Account M38</t>
        </is>
      </c>
      <c r="C38" t="inlineStr">
        <is>
          <t>Jordan Lee</t>
        </is>
      </c>
      <c r="D38" t="inlineStr">
        <is>
          <t>Closed Won</t>
        </is>
      </c>
      <c r="E38" s="2" t="n">
        <v>46302</v>
      </c>
      <c r="F38" t="n">
        <v>23000</v>
      </c>
      <c r="G38" s="3">
        <f>_xlfn.XLOOKUP(tblPipeline[[#This Row],[Stage]],tblStages[Stage],tblStages[Probability],0)</f>
        <v>1</v>
      </c>
      <c r="H38" s="4">
        <f>tblPipeline[[#This Row],[Amount]]*tblPipeline[[#This Row],[Probability]]</f>
        <v>23000</v>
      </c>
      <c r="I38" t="str">
        <f>_xlfn.XLOOKUP(tblPipeline[[#This Row],[Stage]],tblStages[Stage],tblStages[Forecast Category],"Unknown")</f>
        <v>Closed</v>
      </c>
    </row>
    <row r="39">
      <c r="A39" t="inlineStr">
        <is>
          <t>OPP-1039</t>
        </is>
      </c>
      <c r="B39" t="inlineStr">
        <is>
          <t>Account N39</t>
        </is>
      </c>
      <c r="C39" t="inlineStr">
        <is>
          <t>Sam Ortiz</t>
        </is>
      </c>
      <c r="D39" t="inlineStr">
        <is>
          <t>Discovery</t>
        </is>
      </c>
      <c r="E39" s="2" t="n">
        <v>46251</v>
      </c>
      <c r="F39" t="n">
        <v>68000</v>
      </c>
      <c r="G39" s="3">
        <f>_xlfn.XLOOKUP(tblPipeline[[#This Row],[Stage]],tblStages[Stage],tblStages[Probability],0)</f>
        <v>0.2</v>
      </c>
      <c r="H39" s="4">
        <f>tblPipeline[[#This Row],[Amount]]*tblPipeline[[#This Row],[Probability]]</f>
        <v>13600</v>
      </c>
      <c r="I39" t="str">
        <f>_xlfn.XLOOKUP(tblPipeline[[#This Row],[Stage]],tblStages[Stage],tblStages[Forecast Category],"Unknown")</f>
        <v>Pipeline</v>
      </c>
    </row>
    <row r="40">
      <c r="A40" t="inlineStr">
        <is>
          <t>OPP-1040</t>
        </is>
      </c>
      <c r="B40" t="inlineStr">
        <is>
          <t>Account O40</t>
        </is>
      </c>
      <c r="C40" t="inlineStr">
        <is>
          <t>Jordan Lee</t>
        </is>
      </c>
      <c r="D40" t="inlineStr">
        <is>
          <t>Proposal</t>
        </is>
      </c>
      <c r="E40" s="2" t="n">
        <v>46270</v>
      </c>
      <c r="F40" t="n">
        <v>98000</v>
      </c>
      <c r="G40" s="3">
        <f>_xlfn.XLOOKUP(tblPipeline[[#This Row],[Stage]],tblStages[Stage],tblStages[Probability],0)</f>
        <v>0.4</v>
      </c>
      <c r="H40" s="4">
        <f>tblPipeline[[#This Row],[Amount]]*tblPipeline[[#This Row],[Probability]]</f>
        <v>39200</v>
      </c>
      <c r="I40" t="str">
        <f>_xlfn.XLOOKUP(tblPipeline[[#This Row],[Stage]],tblStages[Stage],tblStages[Forecast Category],"Unknown")</f>
        <v>Best Case</v>
      </c>
    </row>
    <row r="41">
      <c r="A41" t="inlineStr">
        <is>
          <t>OPP-1041</t>
        </is>
      </c>
      <c r="B41" t="inlineStr">
        <is>
          <t>Account P41</t>
        </is>
      </c>
      <c r="C41" t="inlineStr">
        <is>
          <t>Alex Kim</t>
        </is>
      </c>
      <c r="D41" t="inlineStr">
        <is>
          <t>Closed Lost</t>
        </is>
      </c>
      <c r="E41" s="2" t="n">
        <v>46284</v>
      </c>
      <c r="F41" t="n">
        <v>44000</v>
      </c>
      <c r="G41" s="3">
        <f>_xlfn.XLOOKUP(tblPipeline[[#This Row],[Stage]],tblStages[Stage],tblStages[Probability],0)</f>
        <v>0</v>
      </c>
      <c r="H41" s="4">
        <f>tblPipeline[[#This Row],[Amount]]*tblPipeline[[#This Row],[Probability]]</f>
        <v>0</v>
      </c>
      <c r="I41" t="str">
        <f>_xlfn.XLOOKUP(tblPipeline[[#This Row],[Stage]],tblStages[Stage],tblStages[Forecast Category],"Unknown")</f>
        <v>Omitted</v>
      </c>
    </row>
    <row r="42">
      <c r="A42" t="inlineStr">
        <is>
          <t>OPP-1042</t>
        </is>
      </c>
      <c r="B42" t="inlineStr">
        <is>
          <t>Account Q42</t>
        </is>
      </c>
      <c r="C42" t="inlineStr">
        <is>
          <t>Jordan Lee</t>
        </is>
      </c>
      <c r="D42" t="inlineStr">
        <is>
          <t>Closed Lost</t>
        </is>
      </c>
      <c r="E42" s="2" t="n">
        <v>46377</v>
      </c>
      <c r="F42" t="n">
        <v>237000</v>
      </c>
      <c r="G42" s="3">
        <f>_xlfn.XLOOKUP(tblPipeline[[#This Row],[Stage]],tblStages[Stage],tblStages[Probability],0)</f>
        <v>0</v>
      </c>
      <c r="H42" s="4">
        <f>tblPipeline[[#This Row],[Amount]]*tblPipeline[[#This Row],[Probability]]</f>
        <v>0</v>
      </c>
      <c r="I42" t="str">
        <f>_xlfn.XLOOKUP(tblPipeline[[#This Row],[Stage]],tblStages[Stage],tblStages[Forecast Category],"Unknown")</f>
        <v>Omitted</v>
      </c>
    </row>
    <row r="43">
      <c r="A43" t="inlineStr">
        <is>
          <t>OPP-1043</t>
        </is>
      </c>
      <c r="B43" t="inlineStr">
        <is>
          <t>Account R43</t>
        </is>
      </c>
      <c r="C43" t="inlineStr">
        <is>
          <t>Sam Ortiz</t>
        </is>
      </c>
      <c r="D43" t="inlineStr">
        <is>
          <t>Proposal</t>
        </is>
      </c>
      <c r="E43" s="2" t="n">
        <v>46217</v>
      </c>
      <c r="F43" t="n">
        <v>68000</v>
      </c>
      <c r="G43" s="3">
        <f>_xlfn.XLOOKUP(tblPipeline[[#This Row],[Stage]],tblStages[Stage],tblStages[Probability],0)</f>
        <v>0.4</v>
      </c>
      <c r="H43" s="4">
        <f>tblPipeline[[#This Row],[Amount]]*tblPipeline[[#This Row],[Probability]]</f>
        <v>27200</v>
      </c>
      <c r="I43" t="str">
        <f>_xlfn.XLOOKUP(tblPipeline[[#This Row],[Stage]],tblStages[Stage],tblStages[Forecast Category],"Unknown")</f>
        <v>Best Case</v>
      </c>
    </row>
    <row r="44">
      <c r="A44" t="inlineStr">
        <is>
          <t>OPP-1044</t>
        </is>
      </c>
      <c r="B44" t="inlineStr">
        <is>
          <t>Account S44</t>
        </is>
      </c>
      <c r="C44" t="inlineStr">
        <is>
          <t>Priya Nair</t>
        </is>
      </c>
      <c r="D44" t="inlineStr">
        <is>
          <t>Discovery</t>
        </is>
      </c>
      <c r="E44" s="2" t="n">
        <v>46372</v>
      </c>
      <c r="F44" t="n">
        <v>219000</v>
      </c>
      <c r="G44" s="3">
        <f>_xlfn.XLOOKUP(tblPipeline[[#This Row],[Stage]],tblStages[Stage],tblStages[Probability],0)</f>
        <v>0.2</v>
      </c>
      <c r="H44" s="4">
        <f>tblPipeline[[#This Row],[Amount]]*tblPipeline[[#This Row],[Probability]]</f>
        <v>43800</v>
      </c>
      <c r="I44" t="str">
        <f>_xlfn.XLOOKUP(tblPipeline[[#This Row],[Stage]],tblStages[Stage],tblStages[Forecast Category],"Unknown")</f>
        <v>Pipeline</v>
      </c>
    </row>
    <row r="45">
      <c r="A45" t="inlineStr">
        <is>
          <t>OPP-1045</t>
        </is>
      </c>
      <c r="B45" t="inlineStr">
        <is>
          <t>Account T45</t>
        </is>
      </c>
      <c r="C45" t="inlineStr">
        <is>
          <t>Priya Nair</t>
        </is>
      </c>
      <c r="D45" t="inlineStr">
        <is>
          <t>Closed Won</t>
        </is>
      </c>
      <c r="E45" s="2" t="n">
        <v>46333</v>
      </c>
      <c r="F45" t="n">
        <v>182000</v>
      </c>
      <c r="G45" s="3">
        <f>_xlfn.XLOOKUP(tblPipeline[[#This Row],[Stage]],tblStages[Stage],tblStages[Probability],0)</f>
        <v>1</v>
      </c>
      <c r="H45" s="4">
        <f>tblPipeline[[#This Row],[Amount]]*tblPipeline[[#This Row],[Probability]]</f>
        <v>182000</v>
      </c>
      <c r="I45" t="str">
        <f>_xlfn.XLOOKUP(tblPipeline[[#This Row],[Stage]],tblStages[Stage],tblStages[Forecast Category],"Unknown")</f>
        <v>Closed</v>
      </c>
    </row>
    <row r="46">
      <c r="A46" t="inlineStr">
        <is>
          <t>OPP-1046</t>
        </is>
      </c>
      <c r="B46" t="inlineStr">
        <is>
          <t>Account U46</t>
        </is>
      </c>
      <c r="C46" t="inlineStr">
        <is>
          <t>Priya Nair</t>
        </is>
      </c>
      <c r="D46" t="inlineStr">
        <is>
          <t>Discovery</t>
        </is>
      </c>
      <c r="E46" s="2" t="n">
        <v>46311</v>
      </c>
      <c r="F46" t="n">
        <v>34000</v>
      </c>
      <c r="G46" s="3">
        <f>_xlfn.XLOOKUP(tblPipeline[[#This Row],[Stage]],tblStages[Stage],tblStages[Probability],0)</f>
        <v>0.2</v>
      </c>
      <c r="H46" s="4">
        <f>tblPipeline[[#This Row],[Amount]]*tblPipeline[[#This Row],[Probability]]</f>
        <v>6800</v>
      </c>
      <c r="I46" t="str">
        <f>_xlfn.XLOOKUP(tblPipeline[[#This Row],[Stage]],tblStages[Stage],tblStages[Forecast Category],"Unknown")</f>
        <v>Pipeline</v>
      </c>
    </row>
    <row r="47">
      <c r="A47" t="inlineStr">
        <is>
          <t>OPP-1047</t>
        </is>
      </c>
      <c r="B47" t="inlineStr">
        <is>
          <t>Account V47</t>
        </is>
      </c>
      <c r="C47" t="inlineStr">
        <is>
          <t>Alex Kim</t>
        </is>
      </c>
      <c r="D47" t="inlineStr">
        <is>
          <t>Closed Lost</t>
        </is>
      </c>
      <c r="E47" s="2" t="n">
        <v>46363</v>
      </c>
      <c r="F47" t="n">
        <v>26000</v>
      </c>
      <c r="G47" s="3">
        <f>_xlfn.XLOOKUP(tblPipeline[[#This Row],[Stage]],tblStages[Stage],tblStages[Probability],0)</f>
        <v>0</v>
      </c>
      <c r="H47" s="4">
        <f>tblPipeline[[#This Row],[Amount]]*tblPipeline[[#This Row],[Probability]]</f>
        <v>0</v>
      </c>
      <c r="I47" t="str">
        <f>_xlfn.XLOOKUP(tblPipeline[[#This Row],[Stage]],tblStages[Stage],tblStages[Forecast Category],"Unknown")</f>
        <v>Omitted</v>
      </c>
    </row>
    <row r="48">
      <c r="A48" t="inlineStr">
        <is>
          <t>OPP-1048</t>
        </is>
      </c>
      <c r="B48" t="inlineStr">
        <is>
          <t>Account W48</t>
        </is>
      </c>
      <c r="C48" t="inlineStr">
        <is>
          <t>Jordan Lee</t>
        </is>
      </c>
      <c r="D48" t="inlineStr">
        <is>
          <t>Closed Lost</t>
        </is>
      </c>
      <c r="E48" s="2" t="n">
        <v>46259</v>
      </c>
      <c r="F48" t="n">
        <v>83000</v>
      </c>
      <c r="G48" s="3">
        <f>_xlfn.XLOOKUP(tblPipeline[[#This Row],[Stage]],tblStages[Stage],tblStages[Probability],0)</f>
        <v>0</v>
      </c>
      <c r="H48" s="4">
        <f>tblPipeline[[#This Row],[Amount]]*tblPipeline[[#This Row],[Probability]]</f>
        <v>0</v>
      </c>
      <c r="I48" t="str">
        <f>_xlfn.XLOOKUP(tblPipeline[[#This Row],[Stage]],tblStages[Stage],tblStages[Forecast Category],"Unknown")</f>
        <v>Omitted</v>
      </c>
    </row>
    <row r="49">
      <c r="A49" t="inlineStr">
        <is>
          <t>OPP-1049</t>
        </is>
      </c>
      <c r="B49" t="inlineStr">
        <is>
          <t>Account X49</t>
        </is>
      </c>
      <c r="C49" t="inlineStr">
        <is>
          <t>Alex Kim</t>
        </is>
      </c>
      <c r="D49" t="inlineStr">
        <is>
          <t>Closed Won</t>
        </is>
      </c>
      <c r="E49" s="2" t="n">
        <v>46377</v>
      </c>
      <c r="F49" t="n">
        <v>133000</v>
      </c>
      <c r="G49" s="3">
        <f>_xlfn.XLOOKUP(tblPipeline[[#This Row],[Stage]],tblStages[Stage],tblStages[Probability],0)</f>
        <v>1</v>
      </c>
      <c r="H49" s="4">
        <f>tblPipeline[[#This Row],[Amount]]*tblPipeline[[#This Row],[Probability]]</f>
        <v>133000</v>
      </c>
      <c r="I49" t="str">
        <f>_xlfn.XLOOKUP(tblPipeline[[#This Row],[Stage]],tblStages[Stage],tblStages[Forecast Category],"Unknown")</f>
        <v>Closed</v>
      </c>
    </row>
    <row r="50">
      <c r="A50" t="inlineStr">
        <is>
          <t>OPP-1050</t>
        </is>
      </c>
      <c r="B50" t="inlineStr">
        <is>
          <t>Account Y50</t>
        </is>
      </c>
      <c r="C50" t="inlineStr">
        <is>
          <t>Jordan Lee</t>
        </is>
      </c>
      <c r="D50" t="inlineStr">
        <is>
          <t>Negotiation</t>
        </is>
      </c>
      <c r="E50" s="2" t="n">
        <v>46302</v>
      </c>
      <c r="F50" t="n">
        <v>219000</v>
      </c>
      <c r="G50" s="3">
        <f>_xlfn.XLOOKUP(tblPipeline[[#This Row],[Stage]],tblStages[Stage],tblStages[Probability],0)</f>
        <v>0.7</v>
      </c>
      <c r="H50" s="4">
        <f>tblPipeline[[#This Row],[Amount]]*tblPipeline[[#This Row],[Probability]]</f>
        <v>153300</v>
      </c>
      <c r="I50" t="str">
        <f>_xlfn.XLOOKUP(tblPipeline[[#This Row],[Stage]],tblStages[Stage],tblStages[Forecast Category],"Unknown")</f>
        <v>Commit</v>
      </c>
    </row>
    <row r="51">
      <c r="A51" t="inlineStr">
        <is>
          <t>OPP-1051</t>
        </is>
      </c>
      <c r="B51" t="inlineStr">
        <is>
          <t>Account Z51</t>
        </is>
      </c>
      <c r="C51" t="inlineStr">
        <is>
          <t>Priya Nair</t>
        </is>
      </c>
      <c r="D51" t="inlineStr">
        <is>
          <t>Discovery</t>
        </is>
      </c>
      <c r="E51" s="2" t="n">
        <v>46235</v>
      </c>
      <c r="F51" t="n">
        <v>171000</v>
      </c>
      <c r="G51" s="3">
        <f>_xlfn.XLOOKUP(tblPipeline[[#This Row],[Stage]],tblStages[Stage],tblStages[Probability],0)</f>
        <v>0.2</v>
      </c>
      <c r="H51" s="4">
        <f>tblPipeline[[#This Row],[Amount]]*tblPipeline[[#This Row],[Probability]]</f>
        <v>34200</v>
      </c>
      <c r="I51" t="str">
        <f>_xlfn.XLOOKUP(tblPipeline[[#This Row],[Stage]],tblStages[Stage],tblStages[Forecast Category],"Unknown")</f>
        <v>Pipeline</v>
      </c>
    </row>
    <row r="52">
      <c r="A52" t="inlineStr">
        <is>
          <t>OPP-1052</t>
        </is>
      </c>
      <c r="B52" t="inlineStr">
        <is>
          <t>Account A52</t>
        </is>
      </c>
      <c r="C52" t="inlineStr">
        <is>
          <t>Jordan Lee</t>
        </is>
      </c>
      <c r="D52" t="inlineStr">
        <is>
          <t>Prospect</t>
        </is>
      </c>
      <c r="E52" s="2" t="n">
        <v>46303</v>
      </c>
      <c r="F52" t="n">
        <v>155000</v>
      </c>
      <c r="G52" s="3">
        <f>_xlfn.XLOOKUP(tblPipeline[[#This Row],[Stage]],tblStages[Stage],tblStages[Probability],0)</f>
        <v>0.1</v>
      </c>
      <c r="H52" s="4">
        <f>tblPipeline[[#This Row],[Amount]]*tblPipeline[[#This Row],[Probability]]</f>
        <v>15500</v>
      </c>
      <c r="I52" t="str">
        <f>_xlfn.XLOOKUP(tblPipeline[[#This Row],[Stage]],tblStages[Stage],tblStages[Forecast Category],"Unknown")</f>
        <v>Pipeline</v>
      </c>
    </row>
    <row r="53">
      <c r="A53" t="inlineStr">
        <is>
          <t>OPP-1053</t>
        </is>
      </c>
      <c r="B53" t="inlineStr">
        <is>
          <t>Account B53</t>
        </is>
      </c>
      <c r="C53" t="inlineStr">
        <is>
          <t>Priya Nair</t>
        </is>
      </c>
      <c r="D53" t="inlineStr">
        <is>
          <t>Closed Won</t>
        </is>
      </c>
      <c r="E53" s="2" t="n">
        <v>46240</v>
      </c>
      <c r="F53" t="n">
        <v>186000</v>
      </c>
      <c r="G53" s="3">
        <f>_xlfn.XLOOKUP(tblPipeline[[#This Row],[Stage]],tblStages[Stage],tblStages[Probability],0)</f>
        <v>1</v>
      </c>
      <c r="H53" s="4">
        <f>tblPipeline[[#This Row],[Amount]]*tblPipeline[[#This Row],[Probability]]</f>
        <v>186000</v>
      </c>
      <c r="I53" t="str">
        <f>_xlfn.XLOOKUP(tblPipeline[[#This Row],[Stage]],tblStages[Stage],tblStages[Forecast Category],"Unknown")</f>
        <v>Closed</v>
      </c>
    </row>
    <row r="54">
      <c r="A54" t="inlineStr">
        <is>
          <t>OPP-1054</t>
        </is>
      </c>
      <c r="B54" t="inlineStr">
        <is>
          <t>Account C54</t>
        </is>
      </c>
      <c r="C54" t="inlineStr">
        <is>
          <t>Alex Kim</t>
        </is>
      </c>
      <c r="D54" t="inlineStr">
        <is>
          <t>Closed Won</t>
        </is>
      </c>
      <c r="E54" s="2" t="n">
        <v>46351</v>
      </c>
      <c r="F54" t="n">
        <v>215000</v>
      </c>
      <c r="G54" s="3">
        <f>_xlfn.XLOOKUP(tblPipeline[[#This Row],[Stage]],tblStages[Stage],tblStages[Probability],0)</f>
        <v>1</v>
      </c>
      <c r="H54" s="4">
        <f>tblPipeline[[#This Row],[Amount]]*tblPipeline[[#This Row],[Probability]]</f>
        <v>215000</v>
      </c>
      <c r="I54" t="str">
        <f>_xlfn.XLOOKUP(tblPipeline[[#This Row],[Stage]],tblStages[Stage],tblStages[Forecast Category],"Unknown")</f>
        <v>Closed</v>
      </c>
    </row>
    <row r="55">
      <c r="A55" t="inlineStr">
        <is>
          <t>OPP-1055</t>
        </is>
      </c>
      <c r="B55" t="inlineStr">
        <is>
          <t>Account D55</t>
        </is>
      </c>
      <c r="C55" t="inlineStr">
        <is>
          <t>Jordan Lee</t>
        </is>
      </c>
      <c r="D55" t="inlineStr">
        <is>
          <t>Closed Lost</t>
        </is>
      </c>
      <c r="E55" s="2" t="n">
        <v>46296</v>
      </c>
      <c r="F55" t="n">
        <v>35000</v>
      </c>
      <c r="G55" s="3">
        <f>_xlfn.XLOOKUP(tblPipeline[[#This Row],[Stage]],tblStages[Stage],tblStages[Probability],0)</f>
        <v>0</v>
      </c>
      <c r="H55" s="4">
        <f>tblPipeline[[#This Row],[Amount]]*tblPipeline[[#This Row],[Probability]]</f>
        <v>0</v>
      </c>
      <c r="I55" t="str">
        <f>_xlfn.XLOOKUP(tblPipeline[[#This Row],[Stage]],tblStages[Stage],tblStages[Forecast Category],"Unknown")</f>
        <v>Omitted</v>
      </c>
    </row>
    <row r="56">
      <c r="A56" t="inlineStr">
        <is>
          <t>OPP-1056</t>
        </is>
      </c>
      <c r="B56" t="inlineStr">
        <is>
          <t>Account E56</t>
        </is>
      </c>
      <c r="C56" t="inlineStr">
        <is>
          <t>Priya Nair</t>
        </is>
      </c>
      <c r="D56" t="inlineStr">
        <is>
          <t>Negotiation</t>
        </is>
      </c>
      <c r="E56" s="2" t="n">
        <v>46219</v>
      </c>
      <c r="F56" t="n">
        <v>158000</v>
      </c>
      <c r="G56" s="3">
        <f>_xlfn.XLOOKUP(tblPipeline[[#This Row],[Stage]],tblStages[Stage],tblStages[Probability],0)</f>
        <v>0.7</v>
      </c>
      <c r="H56" s="4">
        <f>tblPipeline[[#This Row],[Amount]]*tblPipeline[[#This Row],[Probability]]</f>
        <v>110600</v>
      </c>
      <c r="I56" t="str">
        <f>_xlfn.XLOOKUP(tblPipeline[[#This Row],[Stage]],tblStages[Stage],tblStages[Forecast Category],"Unknown")</f>
        <v>Commit</v>
      </c>
    </row>
    <row r="57">
      <c r="A57" t="inlineStr">
        <is>
          <t>OPP-1057</t>
        </is>
      </c>
      <c r="B57" t="inlineStr">
        <is>
          <t>Account F57</t>
        </is>
      </c>
      <c r="C57" t="inlineStr">
        <is>
          <t>Jordan Lee</t>
        </is>
      </c>
      <c r="D57" t="inlineStr">
        <is>
          <t>Proposal</t>
        </is>
      </c>
      <c r="E57" s="2" t="n">
        <v>46236</v>
      </c>
      <c r="F57" t="n">
        <v>107000</v>
      </c>
      <c r="G57" s="3">
        <f>_xlfn.XLOOKUP(tblPipeline[[#This Row],[Stage]],tblStages[Stage],tblStages[Probability],0)</f>
        <v>0.4</v>
      </c>
      <c r="H57" s="4">
        <f>tblPipeline[[#This Row],[Amount]]*tblPipeline[[#This Row],[Probability]]</f>
        <v>42800</v>
      </c>
      <c r="I57" t="str">
        <f>_xlfn.XLOOKUP(tblPipeline[[#This Row],[Stage]],tblStages[Stage],tblStages[Forecast Category],"Unknown")</f>
        <v>Best Case</v>
      </c>
    </row>
    <row r="58">
      <c r="A58" t="inlineStr">
        <is>
          <t>OPP-1058</t>
        </is>
      </c>
      <c r="B58" t="inlineStr">
        <is>
          <t>Account G58</t>
        </is>
      </c>
      <c r="C58" t="inlineStr">
        <is>
          <t>Priya Nair</t>
        </is>
      </c>
      <c r="D58" t="inlineStr">
        <is>
          <t>Negotiation</t>
        </is>
      </c>
      <c r="E58" s="2" t="n">
        <v>46327</v>
      </c>
      <c r="F58" t="n">
        <v>91000</v>
      </c>
      <c r="G58" s="3">
        <f>_xlfn.XLOOKUP(tblPipeline[[#This Row],[Stage]],tblStages[Stage],tblStages[Probability],0)</f>
        <v>0.7</v>
      </c>
      <c r="H58" s="4">
        <f>tblPipeline[[#This Row],[Amount]]*tblPipeline[[#This Row],[Probability]]</f>
        <v>63699.99999999999</v>
      </c>
      <c r="I58" t="str">
        <f>_xlfn.XLOOKUP(tblPipeline[[#This Row],[Stage]],tblStages[Stage],tblStages[Forecast Category],"Unknown")</f>
        <v>Commit</v>
      </c>
    </row>
    <row r="59">
      <c r="A59" t="inlineStr">
        <is>
          <t>OPP-1059</t>
        </is>
      </c>
      <c r="B59" t="inlineStr">
        <is>
          <t>Account H59</t>
        </is>
      </c>
      <c r="C59" t="inlineStr">
        <is>
          <t>Alex Kim</t>
        </is>
      </c>
      <c r="D59" t="inlineStr">
        <is>
          <t>Closed Won</t>
        </is>
      </c>
      <c r="E59" s="2" t="n">
        <v>46221</v>
      </c>
      <c r="F59" t="n">
        <v>131000</v>
      </c>
      <c r="G59" s="3">
        <f>_xlfn.XLOOKUP(tblPipeline[[#This Row],[Stage]],tblStages[Stage],tblStages[Probability],0)</f>
        <v>1</v>
      </c>
      <c r="H59" s="4">
        <f>tblPipeline[[#This Row],[Amount]]*tblPipeline[[#This Row],[Probability]]</f>
        <v>131000</v>
      </c>
      <c r="I59" t="str">
        <f>_xlfn.XLOOKUP(tblPipeline[[#This Row],[Stage]],tblStages[Stage],tblStages[Forecast Category],"Unknown")</f>
        <v>Closed</v>
      </c>
    </row>
    <row r="60">
      <c r="A60" t="inlineStr">
        <is>
          <t>OPP-1060</t>
        </is>
      </c>
      <c r="B60" t="inlineStr">
        <is>
          <t>Account I60</t>
        </is>
      </c>
      <c r="C60" t="inlineStr">
        <is>
          <t>Alex Kim</t>
        </is>
      </c>
      <c r="D60" t="inlineStr">
        <is>
          <t>Discovery</t>
        </is>
      </c>
      <c r="E60" s="2" t="n">
        <v>46278</v>
      </c>
      <c r="F60" t="n">
        <v>74000</v>
      </c>
      <c r="G60" s="3">
        <f>_xlfn.XLOOKUP(tblPipeline[[#This Row],[Stage]],tblStages[Stage],tblStages[Probability],0)</f>
        <v>0.2</v>
      </c>
      <c r="H60" s="4">
        <f>tblPipeline[[#This Row],[Amount]]*tblPipeline[[#This Row],[Probability]]</f>
        <v>14800</v>
      </c>
      <c r="I60" t="str">
        <f>_xlfn.XLOOKUP(tblPipeline[[#This Row],[Stage]],tblStages[Stage],tblStages[Forecast Category],"Unknown")</f>
        <v>Pipeline</v>
      </c>
    </row>
    <row r="61">
      <c r="A61" t="inlineStr">
        <is>
          <t>OPP-1061</t>
        </is>
      </c>
      <c r="B61" t="inlineStr">
        <is>
          <t>Account J61</t>
        </is>
      </c>
      <c r="C61" t="inlineStr">
        <is>
          <t>Jordan Lee</t>
        </is>
      </c>
      <c r="D61" t="inlineStr">
        <is>
          <t>Closed Won</t>
        </is>
      </c>
      <c r="E61" s="2" t="n">
        <v>46299</v>
      </c>
      <c r="F61" t="n">
        <v>34000</v>
      </c>
      <c r="G61" s="3">
        <f>_xlfn.XLOOKUP(tblPipeline[[#This Row],[Stage]],tblStages[Stage],tblStages[Probability],0)</f>
        <v>1</v>
      </c>
      <c r="H61" s="4">
        <f>tblPipeline[[#This Row],[Amount]]*tblPipeline[[#This Row],[Probability]]</f>
        <v>34000</v>
      </c>
      <c r="I61" t="str">
        <f>_xlfn.XLOOKUP(tblPipeline[[#This Row],[Stage]],tblStages[Stage],tblStages[Forecast Category],"Unknown")</f>
        <v>Closed</v>
      </c>
    </row>
  </sheetData>
  <conditionalFormatting sqref="H2:H61">
    <cfRule type="colorScale" priority="1">
      <colorScale>
        <cfvo type="min"/>
        <cfvo type="max"/>
        <color rgb="00FFFFFF"/>
        <color rgb="0063BE7B"/>
      </colorScale>
    </cfRule>
  </conditionalFormatting>
  <dataValidations count="1">
    <dataValidation sqref="D2:D61" showDropDown="0" showInputMessage="0" showErrorMessage="0" allowBlank="0" type="list">
      <formula1>=INDIRECT("tblStages[Stage]")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Probability</t>
        </is>
      </c>
      <c r="C1" s="1" t="inlineStr">
        <is>
          <t>Forecast Category</t>
        </is>
      </c>
    </row>
    <row r="2">
      <c r="A2" t="inlineStr">
        <is>
          <t>Prospect</t>
        </is>
      </c>
      <c r="B2" s="3" t="n">
        <v>0.1</v>
      </c>
      <c r="C2" t="inlineStr">
        <is>
          <t>Pipeline</t>
        </is>
      </c>
    </row>
    <row r="3">
      <c r="A3" t="inlineStr">
        <is>
          <t>Discovery</t>
        </is>
      </c>
      <c r="B3" s="3" t="n">
        <v>0.2</v>
      </c>
      <c r="C3" t="inlineStr">
        <is>
          <t>Pipeline</t>
        </is>
      </c>
    </row>
    <row r="4">
      <c r="A4" t="inlineStr">
        <is>
          <t>Proposal</t>
        </is>
      </c>
      <c r="B4" s="3" t="n">
        <v>0.4</v>
      </c>
      <c r="C4" t="inlineStr">
        <is>
          <t>Best Case</t>
        </is>
      </c>
    </row>
    <row r="5">
      <c r="A5" t="inlineStr">
        <is>
          <t>Negotiation</t>
        </is>
      </c>
      <c r="B5" s="3" t="n">
        <v>0.7</v>
      </c>
      <c r="C5" t="inlineStr">
        <is>
          <t>Commit</t>
        </is>
      </c>
    </row>
    <row r="6">
      <c r="A6" t="inlineStr">
        <is>
          <t>Closed Won</t>
        </is>
      </c>
      <c r="B6" s="3" t="n">
        <v>1</v>
      </c>
      <c r="C6" t="inlineStr">
        <is>
          <t>Closed</t>
        </is>
      </c>
    </row>
    <row r="7">
      <c r="A7" t="inlineStr">
        <is>
          <t>Closed Lost</t>
        </is>
      </c>
      <c r="B7" s="3" t="n">
        <v>0</v>
      </c>
      <c r="C7" t="inlineStr">
        <is>
          <t>Omitted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H2 FY26 Weighted Forecast</t>
        </is>
      </c>
    </row>
    <row r="3">
      <c r="A3" s="1" t="inlineStr">
        <is>
          <t>Owner</t>
        </is>
      </c>
      <c r="B3" s="1" t="inlineStr">
        <is>
          <t>Jul-26</t>
        </is>
      </c>
      <c r="C3" s="1" t="inlineStr">
        <is>
          <t>Aug-26</t>
        </is>
      </c>
      <c r="D3" s="1" t="inlineStr">
        <is>
          <t>Sep-26</t>
        </is>
      </c>
      <c r="E3" s="1" t="inlineStr">
        <is>
          <t>Oct-26</t>
        </is>
      </c>
      <c r="F3" s="1" t="inlineStr">
        <is>
          <t>Nov-26</t>
        </is>
      </c>
      <c r="G3" s="1" t="inlineStr">
        <is>
          <t>Dec-26</t>
        </is>
      </c>
      <c r="H3" s="1" t="inlineStr">
        <is>
          <t>Total Weighted</t>
        </is>
      </c>
      <c r="I3" s="1" t="inlineStr">
        <is>
          <t>Commit</t>
        </is>
      </c>
      <c r="J3" s="1" t="inlineStr">
        <is>
          <t>Quota</t>
        </is>
      </c>
      <c r="K3" s="1" t="inlineStr">
        <is>
          <t>Coverage</t>
        </is>
      </c>
    </row>
    <row r="4">
      <c r="A4" t="inlineStr">
        <is>
          <t>Jordan Lee</t>
        </is>
      </c>
      <c r="B4" s="4">
        <f>SUMIFS(tblPipeline[Weighted Amount],tblPipeline[Owner],$A4,tblPipeline[Close Date],"&gt;="&amp;DATE(2026,7,1),tblPipeline[Close Date],"&lt;="&amp;EOMONTH(DATE(2026,7,1),0))</f>
        <v>0</v>
      </c>
      <c r="C4" s="4">
        <f>SUMIFS(tblPipeline[Weighted Amount],tblPipeline[Owner],$A4,tblPipeline[Close Date],"&gt;="&amp;DATE(2026,8,1),tblPipeline[Close Date],"&lt;="&amp;EOMONTH(DATE(2026,8,1),0))</f>
        <v>141500</v>
      </c>
      <c r="D4" s="4">
        <f>SUMIFS(tblPipeline[Weighted Amount],tblPipeline[Owner],$A4,tblPipeline[Close Date],"&gt;="&amp;DATE(2026,9,1),tblPipeline[Close Date],"&lt;="&amp;EOMONTH(DATE(2026,9,1),0))</f>
        <v>39200</v>
      </c>
      <c r="E4" s="4">
        <f>SUMIFS(tblPipeline[Weighted Amount],tblPipeline[Owner],$A4,tblPipeline[Close Date],"&gt;="&amp;DATE(2026,10,1),tblPipeline[Close Date],"&lt;="&amp;EOMONTH(DATE(2026,10,1),0))</f>
        <v>253800</v>
      </c>
      <c r="F4" s="4">
        <f>SUMIFS(tblPipeline[Weighted Amount],tblPipeline[Owner],$A4,tblPipeline[Close Date],"&gt;="&amp;DATE(2026,11,1),tblPipeline[Close Date],"&lt;="&amp;EOMONTH(DATE(2026,11,1),0))</f>
        <v>252900</v>
      </c>
      <c r="G4" s="4">
        <f>SUMIFS(tblPipeline[Weighted Amount],tblPipeline[Owner],$A4,tblPipeline[Close Date],"&gt;="&amp;DATE(2026,12,1),tblPipeline[Close Date],"&lt;="&amp;EOMONTH(DATE(2026,12,1),0))</f>
        <v>0</v>
      </c>
      <c r="H4" s="4">
        <f>SUM(B4:G4)</f>
        <v>687400</v>
      </c>
      <c r="I4" s="4">
        <f>SUMIFS(tblPipeline[Amount],tblPipeline[Owner],$A4,tblPipeline[Forecast Category],"Commit")+SUMIFS(tblPipeline[Amount],tblPipeline[Owner],$A4,tblPipeline[Forecast Category],"Closed")</f>
        <v>605000</v>
      </c>
      <c r="J4" t="n">
        <v>900000</v>
      </c>
      <c r="K4" s="6">
        <f>IFERROR(H4/J4,0)</f>
        <v>0.7637777777777778</v>
      </c>
    </row>
    <row r="5">
      <c r="A5" t="inlineStr">
        <is>
          <t>Sam Ortiz</t>
        </is>
      </c>
      <c r="B5" s="4">
        <f>SUMIFS(tblPipeline[Weighted Amount],tblPipeline[Owner],$A5,tblPipeline[Close Date],"&gt;="&amp;DATE(2026,7,1),tblPipeline[Close Date],"&lt;="&amp;EOMONTH(DATE(2026,7,1),0))</f>
        <v>27200</v>
      </c>
      <c r="C5" s="4">
        <f>SUMIFS(tblPipeline[Weighted Amount],tblPipeline[Owner],$A5,tblPipeline[Close Date],"&gt;="&amp;DATE(2026,8,1),tblPipeline[Close Date],"&lt;="&amp;EOMONTH(DATE(2026,8,1),0))</f>
        <v>50200</v>
      </c>
      <c r="D5" s="4">
        <f>SUMIFS(tblPipeline[Weighted Amount],tblPipeline[Owner],$A5,tblPipeline[Close Date],"&gt;="&amp;DATE(2026,9,1),tblPipeline[Close Date],"&lt;="&amp;EOMONTH(DATE(2026,9,1),0))</f>
        <v>114799.99999999999</v>
      </c>
      <c r="E5" s="4">
        <f>SUMIFS(tblPipeline[Weighted Amount],tblPipeline[Owner],$A5,tblPipeline[Close Date],"&gt;="&amp;DATE(2026,10,1),tblPipeline[Close Date],"&lt;="&amp;EOMONTH(DATE(2026,10,1),0))</f>
        <v>22400</v>
      </c>
      <c r="F5" s="4">
        <f>SUMIFS(tblPipeline[Weighted Amount],tblPipeline[Owner],$A5,tblPipeline[Close Date],"&gt;="&amp;DATE(2026,11,1),tblPipeline[Close Date],"&lt;="&amp;EOMONTH(DATE(2026,11,1),0))</f>
        <v>65600</v>
      </c>
      <c r="G5" s="4">
        <f>SUMIFS(tblPipeline[Weighted Amount],tblPipeline[Owner],$A5,tblPipeline[Close Date],"&gt;="&amp;DATE(2026,12,1),tblPipeline[Close Date],"&lt;="&amp;EOMONTH(DATE(2026,12,1),0))</f>
        <v>0</v>
      </c>
      <c r="H5" s="4">
        <f>SUM(B5:G5)</f>
        <v>280200</v>
      </c>
      <c r="I5" s="4">
        <f>SUMIFS(tblPipeline[Amount],tblPipeline[Owner],$A5,tblPipeline[Forecast Category],"Commit")+SUMIFS(tblPipeline[Amount],tblPipeline[Owner],$A5,tblPipeline[Forecast Category],"Closed")</f>
        <v>164000</v>
      </c>
      <c r="J5" t="n">
        <v>750000</v>
      </c>
      <c r="K5" s="6">
        <f>IFERROR(H5/J5,0)</f>
        <v>0.3736</v>
      </c>
    </row>
    <row r="6">
      <c r="A6" t="inlineStr">
        <is>
          <t>Priya Nair</t>
        </is>
      </c>
      <c r="B6" s="4">
        <f>SUMIFS(tblPipeline[Weighted Amount],tblPipeline[Owner],$A6,tblPipeline[Close Date],"&gt;="&amp;DATE(2026,7,1),tblPipeline[Close Date],"&lt;="&amp;EOMONTH(DATE(2026,7,1),0))</f>
        <v>351700</v>
      </c>
      <c r="C6" s="4">
        <f>SUMIFS(tblPipeline[Weighted Amount],tblPipeline[Owner],$A6,tblPipeline[Close Date],"&gt;="&amp;DATE(2026,8,1),tblPipeline[Close Date],"&lt;="&amp;EOMONTH(DATE(2026,8,1),0))</f>
        <v>377000</v>
      </c>
      <c r="D6" s="4">
        <f>SUMIFS(tblPipeline[Weighted Amount],tblPipeline[Owner],$A6,tblPipeline[Close Date],"&gt;="&amp;DATE(2026,9,1),tblPipeline[Close Date],"&lt;="&amp;EOMONTH(DATE(2026,9,1),0))</f>
        <v>109100</v>
      </c>
      <c r="E6" s="4">
        <f>SUMIFS(tblPipeline[Weighted Amount],tblPipeline[Owner],$A6,tblPipeline[Close Date],"&gt;="&amp;DATE(2026,10,1),tblPipeline[Close Date],"&lt;="&amp;EOMONTH(DATE(2026,10,1),0))</f>
        <v>28400</v>
      </c>
      <c r="F6" s="4">
        <f>SUMIFS(tblPipeline[Weighted Amount],tblPipeline[Owner],$A6,tblPipeline[Close Date],"&gt;="&amp;DATE(2026,11,1),tblPipeline[Close Date],"&lt;="&amp;EOMONTH(DATE(2026,11,1),0))</f>
        <v>245700</v>
      </c>
      <c r="G6" s="4">
        <f>SUMIFS(tblPipeline[Weighted Amount],tblPipeline[Owner],$A6,tblPipeline[Close Date],"&gt;="&amp;DATE(2026,12,1),tblPipeline[Close Date],"&lt;="&amp;EOMONTH(DATE(2026,12,1),0))</f>
        <v>230600</v>
      </c>
      <c r="H6" s="4">
        <f>SUM(B6:G6)</f>
        <v>1342500</v>
      </c>
      <c r="I6" s="4">
        <f>SUMIFS(tblPipeline[Amount],tblPipeline[Owner],$A6,tblPipeline[Forecast Category],"Commit")+SUMIFS(tblPipeline[Amount],tblPipeline[Owner],$A6,tblPipeline[Forecast Category],"Closed")</f>
        <v>1188000</v>
      </c>
      <c r="J6" t="n">
        <v>1000000</v>
      </c>
      <c r="K6" s="6">
        <f>IFERROR(H6/J6,0)</f>
        <v>1.3425</v>
      </c>
    </row>
    <row r="7">
      <c r="A7" t="inlineStr">
        <is>
          <t>Alex Kim</t>
        </is>
      </c>
      <c r="B7" s="4">
        <f>SUMIFS(tblPipeline[Weighted Amount],tblPipeline[Owner],$A7,tblPipeline[Close Date],"&gt;="&amp;DATE(2026,7,1),tblPipeline[Close Date],"&lt;="&amp;EOMONTH(DATE(2026,7,1),0))</f>
        <v>159400</v>
      </c>
      <c r="C7" s="4">
        <f>SUMIFS(tblPipeline[Weighted Amount],tblPipeline[Owner],$A7,tblPipeline[Close Date],"&gt;="&amp;DATE(2026,8,1),tblPipeline[Close Date],"&lt;="&amp;EOMONTH(DATE(2026,8,1),0))</f>
        <v>106600</v>
      </c>
      <c r="D7" s="4">
        <f>SUMIFS(tblPipeline[Weighted Amount],tblPipeline[Owner],$A7,tblPipeline[Close Date],"&gt;="&amp;DATE(2026,9,1),tblPipeline[Close Date],"&lt;="&amp;EOMONTH(DATE(2026,9,1),0))</f>
        <v>120500</v>
      </c>
      <c r="E7" s="4">
        <f>SUMIFS(tblPipeline[Weighted Amount],tblPipeline[Owner],$A7,tblPipeline[Close Date],"&gt;="&amp;DATE(2026,10,1),tblPipeline[Close Date],"&lt;="&amp;EOMONTH(DATE(2026,10,1),0))</f>
        <v>82200</v>
      </c>
      <c r="F7" s="4">
        <f>SUMIFS(tblPipeline[Weighted Amount],tblPipeline[Owner],$A7,tblPipeline[Close Date],"&gt;="&amp;DATE(2026,11,1),tblPipeline[Close Date],"&lt;="&amp;EOMONTH(DATE(2026,11,1),0))</f>
        <v>353600</v>
      </c>
      <c r="G7" s="4">
        <f>SUMIFS(tblPipeline[Weighted Amount],tblPipeline[Owner],$A7,tblPipeline[Close Date],"&gt;="&amp;DATE(2026,12,1),tblPipeline[Close Date],"&lt;="&amp;EOMONTH(DATE(2026,12,1),0))</f>
        <v>133000</v>
      </c>
      <c r="H7" s="4">
        <f>SUM(B7:G7)</f>
        <v>955300</v>
      </c>
      <c r="I7" s="4">
        <f>SUMIFS(tblPipeline[Amount],tblPipeline[Owner],$A7,tblPipeline[Forecast Category],"Commit")+SUMIFS(tblPipeline[Amount],tblPipeline[Owner],$A7,tblPipeline[Forecast Category],"Closed")</f>
        <v>816000</v>
      </c>
      <c r="J7" t="n">
        <v>650000</v>
      </c>
      <c r="K7" s="6">
        <f>IFERROR(H7/J7,0)</f>
        <v>1.4696923076923076</v>
      </c>
    </row>
    <row r="10">
      <c r="A10" s="7" t="inlineStr">
        <is>
          <t>Open deals by stage</t>
        </is>
      </c>
    </row>
    <row r="11">
      <c r="A11" s="1" t="inlineStr">
        <is>
          <t>Stage</t>
        </is>
      </c>
      <c r="B11" s="1" t="inlineStr">
        <is>
          <t># Deals</t>
        </is>
      </c>
      <c r="C11" s="1" t="inlineStr">
        <is>
          <t>Pipeline $</t>
        </is>
      </c>
    </row>
    <row r="12">
      <c r="A12" t="inlineStr">
        <is>
          <t>Prospect</t>
        </is>
      </c>
      <c r="B12">
        <f>COUNTIFS(tblPipeline[Stage],A12)</f>
        <v>7</v>
      </c>
      <c r="C12" s="4">
        <f>SUMIFS(tblPipeline[Amount],tblPipeline[Stage],A12)</f>
        <v>1113000</v>
      </c>
    </row>
    <row r="13">
      <c r="A13" t="inlineStr">
        <is>
          <t>Discovery</t>
        </is>
      </c>
      <c r="B13">
        <f>COUNTIFS(tblPipeline[Stage],A13)</f>
        <v>17</v>
      </c>
      <c r="C13" s="4">
        <f>SUMIFS(tblPipeline[Amount],tblPipeline[Stage],A13)</f>
        <v>2160000</v>
      </c>
    </row>
    <row r="14">
      <c r="A14" t="inlineStr">
        <is>
          <t>Proposal</t>
        </is>
      </c>
      <c r="B14">
        <f>COUNTIFS(tblPipeline[Stage],A14)</f>
        <v>8</v>
      </c>
      <c r="C14" s="4">
        <f>SUMIFS(tblPipeline[Amount],tblPipeline[Stage],A14)</f>
        <v>835000</v>
      </c>
    </row>
    <row r="15">
      <c r="A15" t="inlineStr">
        <is>
          <t>Negotiation</t>
        </is>
      </c>
      <c r="B15">
        <f>COUNTIFS(tblPipeline[Stage],A15)</f>
        <v>10</v>
      </c>
      <c r="C15" s="4">
        <f>SUMIFS(tblPipeline[Amount],tblPipeline[Stage],A15)</f>
        <v>1283000</v>
      </c>
    </row>
    <row r="16">
      <c r="A16" t="inlineStr">
        <is>
          <t>Closed Won</t>
        </is>
      </c>
      <c r="B16">
        <f>COUNTIFS(tblPipeline[Stage],A16)</f>
        <v>11</v>
      </c>
      <c r="C16" s="4">
        <f>SUMIFS(tblPipeline[Amount],tblPipeline[Stage],A16)</f>
        <v>1490000</v>
      </c>
    </row>
    <row r="17">
      <c r="A17" t="inlineStr">
        <is>
          <t>Closed Lost</t>
        </is>
      </c>
      <c r="B17">
        <f>COUNTIFS(tblPipeline[Stage],A17)</f>
        <v>7</v>
      </c>
      <c r="C17" s="4">
        <f>SUMIFS(tblPipeline[Amount],tblPipeline[Stage],A17)</f>
        <v>792000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2026-10-20T15:39:10Z</dcterms:created>
  <dcterms:modified xsi:type="dcterms:W3CDTF">2026-10-20T15:39:10Z</dcterms:modified>
</cp:coreProperties>
</file>