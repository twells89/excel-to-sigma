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WCF" sheetId="1" state="visible" r:id="rId1"/>
    <sheet name="Inputs" sheetId="2" state="visible" r:id="rId2"/>
    <sheet name="AR Aging" sheetId="3" state="visible" r:id="rId3"/>
    <sheet name="AP Schedule" sheetId="4" state="visible" r:id="rId4"/>
  </sheets>
  <definedNames>
    <definedName name="Coll_Base">Inputs!$B$13</definedName>
    <definedName name="Coll_Downside">Inputs!$B$14</definedName>
    <definedName name="Coll_Upside">Inputs!$B$15</definedName>
    <definedName name="Scenario">Inputs!$B$3</definedName>
    <definedName name="OpeningCash">Inputs!$B$4</definedName>
    <definedName name="MinCash">Inputs!$B$5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"/>
    <numFmt numFmtId="166" formatCode="#,##0;[Red](#,##0)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/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Ending Cash vs Minimum</a:t>
            </a:r>
          </a:p>
        </rich>
      </tx>
    </title>
    <plotArea>
      <lineChart>
        <grouping val="standard"/>
        <ser>
          <idx val="0"/>
          <order val="0"/>
          <tx>
            <strRef>
              <f>'13WCF'!A23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'13WCF'!$B$5:$N$5</f>
            </numRef>
          </cat>
          <val>
            <numRef>
              <f>'13WCF'!$B$23:$N$23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AR" displayName="tblAR" ref="A1:E41" headerRowCount="1">
  <autoFilter ref="A1:E41"/>
  <tableColumns count="5">
    <tableColumn id="1" name="Invoice"/>
    <tableColumn id="2" name="Customer"/>
    <tableColumn id="3" name="Amount"/>
    <tableColumn id="4" name="Due Date"/>
    <tableColumn id="5" name="Expected Week"/>
  </tableColumns>
  <tableStyleInfo name="TableStyleMedium2" showRowStripes="1"/>
</table>
</file>

<file path=xl/tables/table2.xml><?xml version="1.0" encoding="utf-8"?>
<table xmlns="http://schemas.openxmlformats.org/spreadsheetml/2006/main" id="2" name="tblAP" displayName="tblAP" ref="A1:D31" headerRowCount="1">
  <autoFilter ref="A1:D31"/>
  <tableColumns count="4">
    <tableColumn id="1" name="Vendor"/>
    <tableColumn id="2" name="Amount"/>
    <tableColumn id="3" name="Pay Week"/>
    <tableColumn id="4" name="Catego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13-Week Cash Flow Forecast</t>
        </is>
      </c>
    </row>
    <row r="2">
      <c r="A2" t="str">
        <f>"Scenario: "&amp;Scenario</f>
        <v>Scenario: Base</v>
      </c>
    </row>
    <row r="4">
      <c r="A4" s="2" t="inlineStr">
        <is>
          <t>Week</t>
        </is>
      </c>
      <c r="B4" s="2" t="n">
        <v>1</v>
      </c>
      <c r="C4" s="2" t="n">
        <v>2</v>
      </c>
      <c r="D4" s="2" t="n">
        <v>3</v>
      </c>
      <c r="E4" s="2" t="n">
        <v>4</v>
      </c>
      <c r="F4" s="2" t="n">
        <v>5</v>
      </c>
      <c r="G4" s="2" t="n">
        <v>6</v>
      </c>
      <c r="H4" s="2" t="n">
        <v>7</v>
      </c>
      <c r="I4" s="2" t="n">
        <v>8</v>
      </c>
      <c r="J4" s="2" t="n">
        <v>9</v>
      </c>
      <c r="K4" s="2" t="n">
        <v>10</v>
      </c>
      <c r="L4" s="2" t="n">
        <v>11</v>
      </c>
      <c r="M4" s="2" t="n">
        <v>12</v>
      </c>
      <c r="N4" s="2" t="n">
        <v>13</v>
      </c>
      <c r="O4" s="2" t="inlineStr">
        <is>
          <t>13-Wk Total</t>
        </is>
      </c>
    </row>
    <row r="5">
      <c r="A5" s="3" t="inlineStr">
        <is>
          <t>Week Ending</t>
        </is>
      </c>
      <c r="B5" s="4">
        <f>Inputs!$B$6</f>
        <v>46318</v>
      </c>
      <c r="C5" s="4">
        <f>B5+7</f>
        <v>46325</v>
      </c>
      <c r="D5" s="4">
        <f>C5+7</f>
        <v>46332</v>
      </c>
      <c r="E5" s="4">
        <f>D5+7</f>
        <v>46339</v>
      </c>
      <c r="F5" s="4">
        <f>E5+7</f>
        <v>46346</v>
      </c>
      <c r="G5" s="4">
        <f>F5+7</f>
        <v>46353</v>
      </c>
      <c r="H5" s="4">
        <f>G5+7</f>
        <v>46360</v>
      </c>
      <c r="I5" s="4">
        <f>H5+7</f>
        <v>46367</v>
      </c>
      <c r="J5" s="4">
        <f>I5+7</f>
        <v>46374</v>
      </c>
      <c r="K5" s="4">
        <f>J5+7</f>
        <v>46381</v>
      </c>
      <c r="L5" s="4">
        <f>K5+7</f>
        <v>46388</v>
      </c>
      <c r="M5" s="4">
        <f>L5+7</f>
        <v>46395</v>
      </c>
      <c r="N5" s="4">
        <f>M5+7</f>
        <v>46402</v>
      </c>
    </row>
    <row r="7">
      <c r="A7" s="3" t="inlineStr">
        <is>
          <t>Beginning Cash</t>
        </is>
      </c>
      <c r="B7" s="5">
        <f>OpeningCash</f>
        <v>1250000</v>
      </c>
      <c r="C7" s="5">
        <f>B23</f>
        <v>1362150</v>
      </c>
      <c r="D7" s="5">
        <f>C23</f>
        <v>1464550</v>
      </c>
      <c r="E7" s="5">
        <f>D23</f>
        <v>1512658.5</v>
      </c>
      <c r="F7" s="5">
        <f>E23</f>
        <v>1395134.085</v>
      </c>
      <c r="G7" s="5">
        <f>F23</f>
        <v>1321435.42585</v>
      </c>
      <c r="H7" s="5">
        <f>G23</f>
        <v>1213321.2801085</v>
      </c>
      <c r="I7" s="5">
        <f>H23</f>
        <v>1191050.4929095851</v>
      </c>
      <c r="J7" s="5">
        <f>I23</f>
        <v>899581.997838681</v>
      </c>
      <c r="K7" s="5">
        <f>J23</f>
        <v>1076674.8178170677</v>
      </c>
      <c r="L7" s="5">
        <f>K23</f>
        <v>1074688.0659952383</v>
      </c>
      <c r="M7" s="5">
        <f>L23</f>
        <v>1332280.9466551905</v>
      </c>
      <c r="N7" s="5">
        <f>M23</f>
        <v>1278662.7561217425</v>
      </c>
    </row>
    <row r="9">
      <c r="A9" s="3" t="inlineStr">
        <is>
          <t>Receipts</t>
        </is>
      </c>
    </row>
    <row r="10">
      <c r="A10" s="6" t="inlineStr">
        <is>
          <t>AR Collections</t>
        </is>
      </c>
      <c r="B10" s="5">
        <f>SUMIFS(tblAR[Amount],tblAR[Expected Week],B$4)*INDIRECT("Coll_"&amp;Scenario)</f>
        <v>92150</v>
      </c>
      <c r="C10" s="5">
        <f>SUMIFS(tblAR[Amount],tblAR[Expected Week],C$4)*INDIRECT("Coll_"&amp;Scenario)</f>
        <v>198550</v>
      </c>
      <c r="D10" s="5">
        <f>SUMIFS(tblAR[Amount],tblAR[Expected Week],D$4)*INDIRECT("Coll_"&amp;Scenario)</f>
        <v>87400</v>
      </c>
      <c r="E10" s="5">
        <f>SUMIFS(tblAR[Amount],tblAR[Expected Week],E$4)*INDIRECT("Coll_"&amp;Scenario)</f>
        <v>96900</v>
      </c>
      <c r="F10" s="5">
        <f>SUMIFS(tblAR[Amount],tblAR[Expected Week],F$4)*INDIRECT("Coll_"&amp;Scenario)</f>
        <v>116850</v>
      </c>
      <c r="G10" s="5">
        <f>SUMIFS(tblAR[Amount],tblAR[Expected Week],G$4)*INDIRECT("Coll_"&amp;Scenario)</f>
        <v>46550</v>
      </c>
      <c r="H10" s="5">
        <f>SUMIFS(tblAR[Amount],tblAR[Expected Week],H$4)*INDIRECT("Coll_"&amp;Scenario)</f>
        <v>47500</v>
      </c>
      <c r="I10" s="5">
        <f>SUMIFS(tblAR[Amount],tblAR[Expected Week],I$4)*INDIRECT("Coll_"&amp;Scenario)</f>
        <v>49400</v>
      </c>
      <c r="J10" s="5">
        <f>SUMIFS(tblAR[Amount],tblAR[Expected Week],J$4)*INDIRECT("Coll_"&amp;Scenario)</f>
        <v>189050</v>
      </c>
      <c r="K10" s="5">
        <f>SUMIFS(tblAR[Amount],tblAR[Expected Week],K$4)*INDIRECT("Coll_"&amp;Scenario)</f>
        <v>265050</v>
      </c>
      <c r="L10" s="5">
        <f>SUMIFS(tblAR[Amount],tblAR[Expected Week],L$4)*INDIRECT("Coll_"&amp;Scenario)</f>
        <v>309700</v>
      </c>
      <c r="M10" s="5">
        <f>SUMIFS(tblAR[Amount],tblAR[Expected Week],M$4)*INDIRECT("Coll_"&amp;Scenario)</f>
        <v>141550</v>
      </c>
      <c r="N10" s="5">
        <f>SUMIFS(tblAR[Amount],tblAR[Expected Week],N$4)*INDIRECT("Coll_"&amp;Scenario)</f>
        <v>368600</v>
      </c>
      <c r="O10" s="5">
        <f>SUM(B10:N10)</f>
        <v>2009250</v>
      </c>
    </row>
    <row r="11">
      <c r="A11" s="6" t="inlineStr">
        <is>
          <t>New-Sales Receipts</t>
        </is>
      </c>
      <c r="B11" s="5">
        <f>Inputs!$B$7</f>
        <v>85000</v>
      </c>
      <c r="C11" s="5">
        <f>B11*(1+Inputs!$B$8)</f>
        <v>85850</v>
      </c>
      <c r="D11" s="5">
        <f>C11*(1+Inputs!$B$8)</f>
        <v>86708.5</v>
      </c>
      <c r="E11" s="5">
        <f>D11*(1+Inputs!$B$8)</f>
        <v>87575.585</v>
      </c>
      <c r="F11" s="5">
        <f>E11*(1+Inputs!$B$8)</f>
        <v>88451.34085000001</v>
      </c>
      <c r="G11" s="5">
        <f>F11*(1+Inputs!$B$8)</f>
        <v>89335.85425850001</v>
      </c>
      <c r="H11" s="5">
        <f>G11*(1+Inputs!$B$8)</f>
        <v>90229.21280108501</v>
      </c>
      <c r="I11" s="5">
        <f>H11*(1+Inputs!$B$8)</f>
        <v>91131.50492909586</v>
      </c>
      <c r="J11" s="5">
        <f>I11*(1+Inputs!$B$8)</f>
        <v>92042.81997838682</v>
      </c>
      <c r="K11" s="5">
        <f>J11*(1+Inputs!$B$8)</f>
        <v>92963.24817817067</v>
      </c>
      <c r="L11" s="5">
        <f>K11*(1+Inputs!$B$8)</f>
        <v>93892.88065995238</v>
      </c>
      <c r="M11" s="5">
        <f>L11*(1+Inputs!$B$8)</f>
        <v>94831.8094665519</v>
      </c>
      <c r="N11" s="5">
        <f>M11*(1+Inputs!$B$8)</f>
        <v>95780.12756121744</v>
      </c>
      <c r="O11" s="5">
        <f>SUM(B11:N11)</f>
        <v>1173792.8836829602</v>
      </c>
    </row>
    <row r="12">
      <c r="A12" s="6" t="inlineStr">
        <is>
          <t>Total Receipts</t>
        </is>
      </c>
      <c r="B12" s="5">
        <f>B10+B11</f>
        <v>177150</v>
      </c>
      <c r="C12" s="5">
        <f>C10+C11</f>
        <v>284400</v>
      </c>
      <c r="D12" s="5">
        <f>D10+D11</f>
        <v>174108.5</v>
      </c>
      <c r="E12" s="5">
        <f>E10+E11</f>
        <v>184475.58500000002</v>
      </c>
      <c r="F12" s="5">
        <f>F10+F11</f>
        <v>205301.34085</v>
      </c>
      <c r="G12" s="5">
        <f>G10+G11</f>
        <v>135885.8542585</v>
      </c>
      <c r="H12" s="5">
        <f>H10+H11</f>
        <v>137729.21280108503</v>
      </c>
      <c r="I12" s="5">
        <f>I10+I11</f>
        <v>140531.50492909586</v>
      </c>
      <c r="J12" s="5">
        <f>J10+J11</f>
        <v>281092.8199783868</v>
      </c>
      <c r="K12" s="5">
        <f>K10+K11</f>
        <v>358013.24817817064</v>
      </c>
      <c r="L12" s="5">
        <f>L10+L11</f>
        <v>403592.8806599524</v>
      </c>
      <c r="M12" s="5">
        <f>M10+M11</f>
        <v>236381.8094665519</v>
      </c>
      <c r="N12" s="5">
        <f>N10+N11</f>
        <v>464380.1275612174</v>
      </c>
      <c r="O12" s="5">
        <f>SUM(B12:N12)</f>
        <v>3183042.88368296</v>
      </c>
    </row>
    <row r="14">
      <c r="A14" s="3" t="inlineStr">
        <is>
          <t>Disbursements</t>
        </is>
      </c>
    </row>
    <row r="15">
      <c r="A15" s="6" t="inlineStr">
        <is>
          <t>Payroll</t>
        </is>
      </c>
      <c r="B15" s="5">
        <f>IF(MOD(B$4,2)=0,Inputs!$B$9,0)</f>
        <v>0</v>
      </c>
      <c r="C15" s="5">
        <f>IF(MOD(C$4,2)=0,Inputs!$B$9,0)</f>
        <v>182000</v>
      </c>
      <c r="D15" s="5">
        <f>IF(MOD(D$4,2)=0,Inputs!$B$9,0)</f>
        <v>0</v>
      </c>
      <c r="E15" s="5">
        <f>IF(MOD(E$4,2)=0,Inputs!$B$9,0)</f>
        <v>182000</v>
      </c>
      <c r="F15" s="5">
        <f>IF(MOD(F$4,2)=0,Inputs!$B$9,0)</f>
        <v>0</v>
      </c>
      <c r="G15" s="5">
        <f>IF(MOD(G$4,2)=0,Inputs!$B$9,0)</f>
        <v>182000</v>
      </c>
      <c r="H15" s="5">
        <f>IF(MOD(H$4,2)=0,Inputs!$B$9,0)</f>
        <v>0</v>
      </c>
      <c r="I15" s="5">
        <f>IF(MOD(I$4,2)=0,Inputs!$B$9,0)</f>
        <v>182000</v>
      </c>
      <c r="J15" s="5">
        <f>IF(MOD(J$4,2)=0,Inputs!$B$9,0)</f>
        <v>0</v>
      </c>
      <c r="K15" s="5">
        <f>IF(MOD(K$4,2)=0,Inputs!$B$9,0)</f>
        <v>182000</v>
      </c>
      <c r="L15" s="5">
        <f>IF(MOD(L$4,2)=0,Inputs!$B$9,0)</f>
        <v>0</v>
      </c>
      <c r="M15" s="5">
        <f>IF(MOD(M$4,2)=0,Inputs!$B$9,0)</f>
        <v>182000</v>
      </c>
      <c r="N15" s="5">
        <f>IF(MOD(N$4,2)=0,Inputs!$B$9,0)</f>
        <v>0</v>
      </c>
      <c r="O15" s="5">
        <f>SUM(B15:N15)</f>
        <v>1092000</v>
      </c>
    </row>
    <row r="16">
      <c r="A16" s="6" t="inlineStr">
        <is>
          <t>Rent</t>
        </is>
      </c>
      <c r="B16" s="5" t="n">
        <v>45000</v>
      </c>
      <c r="C16" s="5" t="n">
        <v>0</v>
      </c>
      <c r="D16" s="5" t="n">
        <v>0</v>
      </c>
      <c r="E16" s="5" t="n">
        <v>0</v>
      </c>
      <c r="F16" s="5" t="n">
        <v>45000</v>
      </c>
      <c r="G16" s="5" t="n">
        <v>0</v>
      </c>
      <c r="H16" s="5" t="n">
        <v>0</v>
      </c>
      <c r="I16" s="5" t="n">
        <v>0</v>
      </c>
      <c r="J16" s="5" t="n">
        <v>45000</v>
      </c>
      <c r="K16" s="5" t="n">
        <v>0</v>
      </c>
      <c r="L16" s="5" t="n">
        <v>0</v>
      </c>
      <c r="M16" s="5" t="n">
        <v>0</v>
      </c>
      <c r="N16" s="5" t="n">
        <v>45000</v>
      </c>
      <c r="O16" s="5">
        <f>SUM(B16:N16)</f>
        <v>180000</v>
      </c>
    </row>
    <row r="17">
      <c r="A17" s="6" t="inlineStr">
        <is>
          <t>AP Payments</t>
        </is>
      </c>
      <c r="B17" s="5">
        <f>SUMIFS(tblAP[Amount],tblAP[Pay Week],B$4)</f>
        <v>20000</v>
      </c>
      <c r="C17" s="5">
        <f>SUMIFS(tblAP[Amount],tblAP[Pay Week],C$4)</f>
        <v>0</v>
      </c>
      <c r="D17" s="5">
        <f>SUMIFS(tblAP[Amount],tblAP[Pay Week],D$4)</f>
        <v>126000</v>
      </c>
      <c r="E17" s="5">
        <f>SUMIFS(tblAP[Amount],tblAP[Pay Week],E$4)</f>
        <v>120000</v>
      </c>
      <c r="F17" s="5">
        <f>SUMIFS(tblAP[Amount],tblAP[Pay Week],F$4)</f>
        <v>234000</v>
      </c>
      <c r="G17" s="5">
        <f>SUMIFS(tblAP[Amount],tblAP[Pay Week],G$4)</f>
        <v>62000</v>
      </c>
      <c r="H17" s="5">
        <f>SUMIFS(tblAP[Amount],tblAP[Pay Week],H$4)</f>
        <v>160000</v>
      </c>
      <c r="I17" s="5">
        <f>SUMIFS(tblAP[Amount],tblAP[Pay Week],I$4)</f>
        <v>130000</v>
      </c>
      <c r="J17" s="5">
        <f>SUMIFS(tblAP[Amount],tblAP[Pay Week],J$4)</f>
        <v>59000</v>
      </c>
      <c r="K17" s="5">
        <f>SUMIFS(tblAP[Amount],tblAP[Pay Week],K$4)</f>
        <v>178000</v>
      </c>
      <c r="L17" s="5">
        <f>SUMIFS(tblAP[Amount],tblAP[Pay Week],L$4)</f>
        <v>146000</v>
      </c>
      <c r="M17" s="5">
        <f>SUMIFS(tblAP[Amount],tblAP[Pay Week],M$4)</f>
        <v>108000</v>
      </c>
      <c r="N17" s="5">
        <f>SUMIFS(tblAP[Amount],tblAP[Pay Week],N$4)</f>
        <v>79000</v>
      </c>
      <c r="O17" s="5">
        <f>SUM(B17:N17)</f>
        <v>1422000</v>
      </c>
    </row>
    <row r="18">
      <c r="A18" s="6" t="inlineStr">
        <is>
          <t>Debt Service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120000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>
        <f>SUM(B18:N18)</f>
        <v>120000</v>
      </c>
    </row>
    <row r="19">
      <c r="A19" s="6" t="inlineStr">
        <is>
          <t>Total Disbursements</t>
        </is>
      </c>
      <c r="B19" s="5">
        <f>SUM(B15:B18)</f>
        <v>65000</v>
      </c>
      <c r="C19" s="5">
        <f>SUM(C15:C18)</f>
        <v>182000</v>
      </c>
      <c r="D19" s="5">
        <f>SUM(D15:D18)</f>
        <v>126000</v>
      </c>
      <c r="E19" s="5">
        <f>SUM(E15:E18)</f>
        <v>302000</v>
      </c>
      <c r="F19" s="5">
        <f>SUM(F15:F18)</f>
        <v>279000</v>
      </c>
      <c r="G19" s="5">
        <f>SUM(G15:G18)</f>
        <v>244000</v>
      </c>
      <c r="H19" s="5">
        <f>SUM(H15:H18)</f>
        <v>160000</v>
      </c>
      <c r="I19" s="5">
        <f>SUM(I15:I18)</f>
        <v>432000</v>
      </c>
      <c r="J19" s="5">
        <f>SUM(J15:J18)</f>
        <v>104000</v>
      </c>
      <c r="K19" s="5">
        <f>SUM(K15:K18)</f>
        <v>360000</v>
      </c>
      <c r="L19" s="5">
        <f>SUM(L15:L18)</f>
        <v>146000</v>
      </c>
      <c r="M19" s="5">
        <f>SUM(M15:M18)</f>
        <v>290000</v>
      </c>
      <c r="N19" s="5">
        <f>SUM(N15:N18)</f>
        <v>124000</v>
      </c>
      <c r="O19" s="5">
        <f>SUM(B19:N19)</f>
        <v>2814000</v>
      </c>
    </row>
    <row r="21">
      <c r="A21" s="3" t="inlineStr">
        <is>
          <t>Net Cash Flow</t>
        </is>
      </c>
      <c r="B21" s="5">
        <f>B12-B19</f>
        <v>112150</v>
      </c>
      <c r="C21" s="5">
        <f>C12-C19</f>
        <v>102400</v>
      </c>
      <c r="D21" s="5">
        <f>D12-D19</f>
        <v>48108.5</v>
      </c>
      <c r="E21" s="5">
        <f>E12-E19</f>
        <v>-117524.41499999998</v>
      </c>
      <c r="F21" s="5">
        <f>F12-F19</f>
        <v>-73698.65914999999</v>
      </c>
      <c r="G21" s="5">
        <f>G12-G19</f>
        <v>-108114.14574149999</v>
      </c>
      <c r="H21" s="5">
        <f>H12-H19</f>
        <v>-22270.78719891497</v>
      </c>
      <c r="I21" s="5">
        <f>I12-I19</f>
        <v>-291468.49507090414</v>
      </c>
      <c r="J21" s="5">
        <f>J12-J19</f>
        <v>177092.8199783868</v>
      </c>
      <c r="K21" s="5">
        <f>K12-K19</f>
        <v>-1986.7518218293553</v>
      </c>
      <c r="L21" s="5">
        <f>L12-L19</f>
        <v>257592.8806599524</v>
      </c>
      <c r="M21" s="5">
        <f>M12-M19</f>
        <v>-53618.1905334481</v>
      </c>
      <c r="N21" s="5">
        <f>N12-N19</f>
        <v>340380.1275612174</v>
      </c>
      <c r="O21" s="5">
        <f>SUM(B21:N21)</f>
        <v>369042.88368296006</v>
      </c>
    </row>
    <row r="23">
      <c r="A23" s="3" t="inlineStr">
        <is>
          <t>Ending Cash</t>
        </is>
      </c>
      <c r="B23" s="5">
        <f>B7+B21</f>
        <v>1362150</v>
      </c>
      <c r="C23" s="5">
        <f>C7+C21</f>
        <v>1464550</v>
      </c>
      <c r="D23" s="5">
        <f>D7+D21</f>
        <v>1512658.5</v>
      </c>
      <c r="E23" s="5">
        <f>E7+E21</f>
        <v>1395134.085</v>
      </c>
      <c r="F23" s="5">
        <f>F7+F21</f>
        <v>1321435.42585</v>
      </c>
      <c r="G23" s="5">
        <f>G7+G21</f>
        <v>1213321.2801085</v>
      </c>
      <c r="H23" s="5">
        <f>H7+H21</f>
        <v>1191050.4929095851</v>
      </c>
      <c r="I23" s="5">
        <f>I7+I21</f>
        <v>899581.997838681</v>
      </c>
      <c r="J23" s="5">
        <f>J7+J21</f>
        <v>1076674.8178170677</v>
      </c>
      <c r="K23" s="5">
        <f>K7+K21</f>
        <v>1074688.0659952383</v>
      </c>
      <c r="L23" s="5">
        <f>L7+L21</f>
        <v>1332280.9466551905</v>
      </c>
      <c r="M23" s="5">
        <f>M7+M21</f>
        <v>1278662.7561217425</v>
      </c>
      <c r="N23" s="5">
        <f>N7+N21</f>
        <v>1619042.88368296</v>
      </c>
    </row>
    <row r="24">
      <c r="A24" s="6" t="inlineStr">
        <is>
          <t>Cushion vs Minimum</t>
        </is>
      </c>
      <c r="B24" s="5">
        <f>B23-MinCash</f>
        <v>862150</v>
      </c>
      <c r="C24" s="5">
        <f>C23-MinCash</f>
        <v>964550</v>
      </c>
      <c r="D24" s="5">
        <f>D23-MinCash</f>
        <v>1012658.5</v>
      </c>
      <c r="E24" s="5">
        <f>E23-MinCash</f>
        <v>895134.085</v>
      </c>
      <c r="F24" s="5">
        <f>F23-MinCash</f>
        <v>821435.42585</v>
      </c>
      <c r="G24" s="5">
        <f>G23-MinCash</f>
        <v>713321.2801085</v>
      </c>
      <c r="H24" s="5">
        <f>H23-MinCash</f>
        <v>691050.4929095851</v>
      </c>
      <c r="I24" s="5">
        <f>I23-MinCash</f>
        <v>399581.997838681</v>
      </c>
      <c r="J24" s="5">
        <f>J23-MinCash</f>
        <v>576674.8178170677</v>
      </c>
      <c r="K24" s="5">
        <f>K23-MinCash</f>
        <v>574688.0659952383</v>
      </c>
      <c r="L24" s="5">
        <f>L23-MinCash</f>
        <v>832280.9466551905</v>
      </c>
      <c r="M24" s="5">
        <f>M23-MinCash</f>
        <v>778662.7561217425</v>
      </c>
      <c r="N24" s="5">
        <f>N23-MinCash</f>
        <v>1119042.88368296</v>
      </c>
    </row>
    <row r="25">
      <c r="A25" s="6" t="inlineStr">
        <is>
          <t>Lowest Ending Cash to Date</t>
        </is>
      </c>
      <c r="B25" s="5">
        <f>MIN($B$23:B23)</f>
        <v>1362150</v>
      </c>
      <c r="C25" s="5">
        <f>MIN($B$23:C23)</f>
        <v>1362150</v>
      </c>
      <c r="D25" s="5">
        <f>MIN($B$23:D23)</f>
        <v>1362150</v>
      </c>
      <c r="E25" s="5">
        <f>MIN($B$23:E23)</f>
        <v>1362150</v>
      </c>
      <c r="F25" s="5">
        <f>MIN($B$23:F23)</f>
        <v>1321435.42585</v>
      </c>
      <c r="G25" s="5">
        <f>MIN($B$23:G23)</f>
        <v>1213321.2801085</v>
      </c>
      <c r="H25" s="5">
        <f>MIN($B$23:H23)</f>
        <v>1191050.4929095851</v>
      </c>
      <c r="I25" s="5">
        <f>MIN($B$23:I23)</f>
        <v>899581.997838681</v>
      </c>
      <c r="J25" s="5">
        <f>MIN($B$23:J23)</f>
        <v>899581.997838681</v>
      </c>
      <c r="K25" s="5">
        <f>MIN($B$23:K23)</f>
        <v>899581.997838681</v>
      </c>
      <c r="L25" s="5">
        <f>MIN($B$23:L23)</f>
        <v>899581.997838681</v>
      </c>
      <c r="M25" s="5">
        <f>MIN($B$23:M23)</f>
        <v>899581.997838681</v>
      </c>
      <c r="N25" s="5">
        <f>MIN($B$23:N23)</f>
        <v>899581.997838681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15"/>
  <conditionalFormatting sqref="B23:N23">
    <cfRule type="cellIs" priority="1" operator="lessThan" dxfId="0">
      <formula>MinCash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Cash forecast inputs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Opening Cash</t>
        </is>
      </c>
      <c r="B4" t="n">
        <v>1250000</v>
      </c>
    </row>
    <row r="5">
      <c r="A5" t="inlineStr">
        <is>
          <t>Minimum Cash</t>
        </is>
      </c>
      <c r="B5" t="n">
        <v>500000</v>
      </c>
    </row>
    <row r="6">
      <c r="A6" t="inlineStr">
        <is>
          <t>Week 1 Ending</t>
        </is>
      </c>
      <c r="B6" s="7" t="n">
        <v>46318</v>
      </c>
    </row>
    <row r="7">
      <c r="A7" t="inlineStr">
        <is>
          <t>New-sales receipts wk1</t>
        </is>
      </c>
      <c r="B7" t="n">
        <v>85000</v>
      </c>
    </row>
    <row r="8">
      <c r="A8" t="inlineStr">
        <is>
          <t>New-sales weekly growth</t>
        </is>
      </c>
      <c r="B8" t="n">
        <v>0.01</v>
      </c>
    </row>
    <row r="9">
      <c r="A9" t="inlineStr">
        <is>
          <t>Biweekly payroll</t>
        </is>
      </c>
      <c r="B9" t="n">
        <v>182000</v>
      </c>
    </row>
    <row r="12">
      <c r="A12" s="2" t="inlineStr">
        <is>
          <t>Scenario</t>
        </is>
      </c>
      <c r="B12" s="2" t="inlineStr">
        <is>
          <t>Collection Rate</t>
        </is>
      </c>
    </row>
    <row r="13">
      <c r="A13" t="inlineStr">
        <is>
          <t>Base</t>
        </is>
      </c>
      <c r="B13" t="n">
        <v>0.95</v>
      </c>
    </row>
    <row r="14">
      <c r="A14" t="inlineStr">
        <is>
          <t>Downside</t>
        </is>
      </c>
      <c r="B14" t="n">
        <v>0.82</v>
      </c>
    </row>
    <row r="15">
      <c r="A15" t="inlineStr">
        <is>
          <t>Upside</t>
        </is>
      </c>
      <c r="B15" t="n">
        <v>1</v>
      </c>
    </row>
  </sheetData>
  <dataValidations count="1">
    <dataValidation sqref="B3" showDropDown="0" showInputMessage="0" showErrorMessage="0" allowBlank="0" type="list">
      <formula1>"Base,Downside,Upside"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Invoice</t>
        </is>
      </c>
      <c r="B1" s="2" t="inlineStr">
        <is>
          <t>Customer</t>
        </is>
      </c>
      <c r="C1" s="2" t="inlineStr">
        <is>
          <t>Amount</t>
        </is>
      </c>
      <c r="D1" s="2" t="inlineStr">
        <is>
          <t>Due Date</t>
        </is>
      </c>
      <c r="E1" s="2" t="inlineStr">
        <is>
          <t>Expected Week</t>
        </is>
      </c>
    </row>
    <row r="2">
      <c r="A2" t="inlineStr">
        <is>
          <t>INV-5002</t>
        </is>
      </c>
      <c r="B2" t="inlineStr">
        <is>
          <t>Customer 3</t>
        </is>
      </c>
      <c r="C2" t="n">
        <v>81000</v>
      </c>
      <c r="D2" s="7" t="n">
        <v>46400</v>
      </c>
      <c r="E2" t="n">
        <v>13</v>
      </c>
    </row>
    <row r="3">
      <c r="A3" t="inlineStr">
        <is>
          <t>INV-5003</t>
        </is>
      </c>
      <c r="B3" t="inlineStr">
        <is>
          <t>Customer 4</t>
        </is>
      </c>
      <c r="C3" t="n">
        <v>70000</v>
      </c>
      <c r="D3" s="7" t="n">
        <v>46323</v>
      </c>
      <c r="E3" t="n">
        <v>2</v>
      </c>
    </row>
    <row r="4">
      <c r="A4" t="inlineStr">
        <is>
          <t>INV-5004</t>
        </is>
      </c>
      <c r="B4" t="inlineStr">
        <is>
          <t>Customer 5</t>
        </is>
      </c>
      <c r="C4" t="n">
        <v>41000</v>
      </c>
      <c r="D4" s="7" t="n">
        <v>46400</v>
      </c>
      <c r="E4" t="n">
        <v>13</v>
      </c>
    </row>
    <row r="5">
      <c r="A5" t="inlineStr">
        <is>
          <t>INV-5005</t>
        </is>
      </c>
      <c r="B5" t="inlineStr">
        <is>
          <t>Customer 6</t>
        </is>
      </c>
      <c r="C5" t="n">
        <v>8000</v>
      </c>
      <c r="D5" s="7" t="n">
        <v>46316</v>
      </c>
      <c r="E5" t="n">
        <v>1</v>
      </c>
    </row>
    <row r="6">
      <c r="A6" t="inlineStr">
        <is>
          <t>INV-5006</t>
        </is>
      </c>
      <c r="B6" t="inlineStr">
        <is>
          <t>Customer 7</t>
        </is>
      </c>
      <c r="C6" t="n">
        <v>92000</v>
      </c>
      <c r="D6" s="7" t="n">
        <v>46330</v>
      </c>
      <c r="E6" t="n">
        <v>3</v>
      </c>
    </row>
    <row r="7">
      <c r="A7" t="inlineStr">
        <is>
          <t>INV-5007</t>
        </is>
      </c>
      <c r="B7" t="inlineStr">
        <is>
          <t>Customer 8</t>
        </is>
      </c>
      <c r="C7" t="n">
        <v>68000</v>
      </c>
      <c r="D7" s="7" t="n">
        <v>46379</v>
      </c>
      <c r="E7" t="n">
        <v>10</v>
      </c>
    </row>
    <row r="8">
      <c r="A8" t="inlineStr">
        <is>
          <t>INV-5008</t>
        </is>
      </c>
      <c r="B8" t="inlineStr">
        <is>
          <t>Customer 9</t>
        </is>
      </c>
      <c r="C8" t="n">
        <v>55000</v>
      </c>
      <c r="D8" s="7" t="n">
        <v>46400</v>
      </c>
      <c r="E8" t="n">
        <v>13</v>
      </c>
    </row>
    <row r="9">
      <c r="A9" t="inlineStr">
        <is>
          <t>INV-5009</t>
        </is>
      </c>
      <c r="B9" t="inlineStr">
        <is>
          <t>Customer 10</t>
        </is>
      </c>
      <c r="C9" t="n">
        <v>10000</v>
      </c>
      <c r="D9" s="7" t="n">
        <v>46351</v>
      </c>
      <c r="E9" t="n">
        <v>6</v>
      </c>
    </row>
    <row r="10">
      <c r="A10" t="inlineStr">
        <is>
          <t>INV-5010</t>
        </is>
      </c>
      <c r="B10" t="inlineStr">
        <is>
          <t>Customer 11</t>
        </is>
      </c>
      <c r="C10" t="n">
        <v>70000</v>
      </c>
      <c r="D10" s="7" t="n">
        <v>46344</v>
      </c>
      <c r="E10" t="n">
        <v>5</v>
      </c>
    </row>
    <row r="11">
      <c r="A11" t="inlineStr">
        <is>
          <t>INV-5011</t>
        </is>
      </c>
      <c r="B11" t="inlineStr">
        <is>
          <t>Customer 12</t>
        </is>
      </c>
      <c r="C11" t="n">
        <v>33000</v>
      </c>
      <c r="D11" s="7" t="n">
        <v>46400</v>
      </c>
      <c r="E11" t="n">
        <v>13</v>
      </c>
    </row>
    <row r="12">
      <c r="A12" t="inlineStr">
        <is>
          <t>INV-5012</t>
        </is>
      </c>
      <c r="B12" t="inlineStr">
        <is>
          <t>Customer 1</t>
        </is>
      </c>
      <c r="C12" t="n">
        <v>60000</v>
      </c>
      <c r="D12" s="7" t="n">
        <v>46393</v>
      </c>
      <c r="E12" t="n">
        <v>12</v>
      </c>
    </row>
    <row r="13">
      <c r="A13" t="inlineStr">
        <is>
          <t>INV-5013</t>
        </is>
      </c>
      <c r="B13" t="inlineStr">
        <is>
          <t>Customer 2</t>
        </is>
      </c>
      <c r="C13" t="n">
        <v>77000</v>
      </c>
      <c r="D13" s="7" t="n">
        <v>46372</v>
      </c>
      <c r="E13" t="n">
        <v>9</v>
      </c>
    </row>
    <row r="14">
      <c r="A14" t="inlineStr">
        <is>
          <t>INV-5014</t>
        </is>
      </c>
      <c r="B14" t="inlineStr">
        <is>
          <t>Customer 3</t>
        </is>
      </c>
      <c r="C14" t="n">
        <v>20000</v>
      </c>
      <c r="D14" s="7" t="n">
        <v>46386</v>
      </c>
      <c r="E14" t="n">
        <v>11</v>
      </c>
    </row>
    <row r="15">
      <c r="A15" t="inlineStr">
        <is>
          <t>INV-5015</t>
        </is>
      </c>
      <c r="B15" t="inlineStr">
        <is>
          <t>Customer 4</t>
        </is>
      </c>
      <c r="C15" t="n">
        <v>80000</v>
      </c>
      <c r="D15" s="7" t="n">
        <v>46337</v>
      </c>
      <c r="E15" t="n">
        <v>4</v>
      </c>
    </row>
    <row r="16">
      <c r="A16" t="inlineStr">
        <is>
          <t>INV-5016</t>
        </is>
      </c>
      <c r="B16" t="inlineStr">
        <is>
          <t>Customer 5</t>
        </is>
      </c>
      <c r="C16" t="n">
        <v>41000</v>
      </c>
      <c r="D16" s="7" t="n">
        <v>46372</v>
      </c>
      <c r="E16" t="n">
        <v>9</v>
      </c>
    </row>
    <row r="17">
      <c r="A17" t="inlineStr">
        <is>
          <t>INV-5017</t>
        </is>
      </c>
      <c r="B17" t="inlineStr">
        <is>
          <t>Customer 6</t>
        </is>
      </c>
      <c r="C17" t="n">
        <v>86000</v>
      </c>
      <c r="D17" s="7" t="n">
        <v>46386</v>
      </c>
      <c r="E17" t="n">
        <v>11</v>
      </c>
    </row>
    <row r="18">
      <c r="A18" t="inlineStr">
        <is>
          <t>INV-5018</t>
        </is>
      </c>
      <c r="B18" t="inlineStr">
        <is>
          <t>Customer 7</t>
        </is>
      </c>
      <c r="C18" t="n">
        <v>19000</v>
      </c>
      <c r="D18" s="7" t="n">
        <v>46386</v>
      </c>
      <c r="E18" t="n">
        <v>11</v>
      </c>
    </row>
    <row r="19">
      <c r="A19" t="inlineStr">
        <is>
          <t>INV-5019</t>
        </is>
      </c>
      <c r="B19" t="inlineStr">
        <is>
          <t>Customer 8</t>
        </is>
      </c>
      <c r="C19" t="n">
        <v>50000</v>
      </c>
      <c r="D19" s="7" t="n">
        <v>46358</v>
      </c>
      <c r="E19" t="n">
        <v>7</v>
      </c>
    </row>
    <row r="20">
      <c r="A20" t="inlineStr">
        <is>
          <t>INV-5020</t>
        </is>
      </c>
      <c r="B20" t="inlineStr">
        <is>
          <t>Customer 9</t>
        </is>
      </c>
      <c r="C20" t="n">
        <v>54000</v>
      </c>
      <c r="D20" s="7" t="n">
        <v>46323</v>
      </c>
      <c r="E20" t="n">
        <v>2</v>
      </c>
    </row>
    <row r="21">
      <c r="A21" t="inlineStr">
        <is>
          <t>INV-5021</t>
        </is>
      </c>
      <c r="B21" t="inlineStr">
        <is>
          <t>Customer 10</t>
        </is>
      </c>
      <c r="C21" t="n">
        <v>60000</v>
      </c>
      <c r="D21" s="7" t="n">
        <v>46400</v>
      </c>
      <c r="E21" t="n">
        <v>13</v>
      </c>
    </row>
    <row r="22">
      <c r="A22" t="inlineStr">
        <is>
          <t>INV-5022</t>
        </is>
      </c>
      <c r="B22" t="inlineStr">
        <is>
          <t>Customer 11</t>
        </is>
      </c>
      <c r="C22" t="n">
        <v>40000</v>
      </c>
      <c r="D22" s="7" t="n">
        <v>46400</v>
      </c>
      <c r="E22" t="n">
        <v>13</v>
      </c>
    </row>
    <row r="23">
      <c r="A23" t="inlineStr">
        <is>
          <t>INV-5023</t>
        </is>
      </c>
      <c r="B23" t="inlineStr">
        <is>
          <t>Customer 12</t>
        </is>
      </c>
      <c r="C23" t="n">
        <v>20000</v>
      </c>
      <c r="D23" s="7" t="n">
        <v>46365</v>
      </c>
      <c r="E23" t="n">
        <v>8</v>
      </c>
    </row>
    <row r="24">
      <c r="A24" t="inlineStr">
        <is>
          <t>INV-5024</t>
        </is>
      </c>
      <c r="B24" t="inlineStr">
        <is>
          <t>Customer 1</t>
        </is>
      </c>
      <c r="C24" t="n">
        <v>33000</v>
      </c>
      <c r="D24" s="7" t="n">
        <v>46400</v>
      </c>
      <c r="E24" t="n">
        <v>13</v>
      </c>
    </row>
    <row r="25">
      <c r="A25" t="inlineStr">
        <is>
          <t>INV-5025</t>
        </is>
      </c>
      <c r="B25" t="inlineStr">
        <is>
          <t>Customer 2</t>
        </is>
      </c>
      <c r="C25" t="n">
        <v>89000</v>
      </c>
      <c r="D25" s="7" t="n">
        <v>46393</v>
      </c>
      <c r="E25" t="n">
        <v>12</v>
      </c>
    </row>
    <row r="26">
      <c r="A26" t="inlineStr">
        <is>
          <t>INV-5026</t>
        </is>
      </c>
      <c r="B26" t="inlineStr">
        <is>
          <t>Customer 3</t>
        </is>
      </c>
      <c r="C26" t="n">
        <v>45000</v>
      </c>
      <c r="D26" s="7" t="n">
        <v>46400</v>
      </c>
      <c r="E26" t="n">
        <v>13</v>
      </c>
    </row>
    <row r="27">
      <c r="A27" t="inlineStr">
        <is>
          <t>INV-5027</t>
        </is>
      </c>
      <c r="B27" t="inlineStr">
        <is>
          <t>Customer 4</t>
        </is>
      </c>
      <c r="C27" t="n">
        <v>13000</v>
      </c>
      <c r="D27" s="7" t="n">
        <v>46323</v>
      </c>
      <c r="E27" t="n">
        <v>2</v>
      </c>
    </row>
    <row r="28">
      <c r="A28" t="inlineStr">
        <is>
          <t>INV-5028</t>
        </is>
      </c>
      <c r="B28" t="inlineStr">
        <is>
          <t>Customer 5</t>
        </is>
      </c>
      <c r="C28" t="n">
        <v>33000</v>
      </c>
      <c r="D28" s="7" t="n">
        <v>46379</v>
      </c>
      <c r="E28" t="n">
        <v>10</v>
      </c>
    </row>
    <row r="29">
      <c r="A29" t="inlineStr">
        <is>
          <t>INV-5029</t>
        </is>
      </c>
      <c r="B29" t="inlineStr">
        <is>
          <t>Customer 6</t>
        </is>
      </c>
      <c r="C29" t="n">
        <v>54000</v>
      </c>
      <c r="D29" s="7" t="n">
        <v>46386</v>
      </c>
      <c r="E29" t="n">
        <v>11</v>
      </c>
    </row>
    <row r="30">
      <c r="A30" t="inlineStr">
        <is>
          <t>INV-5030</t>
        </is>
      </c>
      <c r="B30" t="inlineStr">
        <is>
          <t>Customer 7</t>
        </is>
      </c>
      <c r="C30" t="n">
        <v>32000</v>
      </c>
      <c r="D30" s="7" t="n">
        <v>46365</v>
      </c>
      <c r="E30" t="n">
        <v>8</v>
      </c>
    </row>
    <row r="31">
      <c r="A31" t="inlineStr">
        <is>
          <t>INV-5031</t>
        </is>
      </c>
      <c r="B31" t="inlineStr">
        <is>
          <t>Customer 8</t>
        </is>
      </c>
      <c r="C31" t="n">
        <v>81000</v>
      </c>
      <c r="D31" s="7" t="n">
        <v>46372</v>
      </c>
      <c r="E31" t="n">
        <v>9</v>
      </c>
    </row>
    <row r="32">
      <c r="A32" t="inlineStr">
        <is>
          <t>INV-5032</t>
        </is>
      </c>
      <c r="B32" t="inlineStr">
        <is>
          <t>Customer 9</t>
        </is>
      </c>
      <c r="C32" t="n">
        <v>72000</v>
      </c>
      <c r="D32" s="7" t="n">
        <v>46386</v>
      </c>
      <c r="E32" t="n">
        <v>11</v>
      </c>
    </row>
    <row r="33">
      <c r="A33" t="inlineStr">
        <is>
          <t>INV-5033</t>
        </is>
      </c>
      <c r="B33" t="inlineStr">
        <is>
          <t>Customer 10</t>
        </is>
      </c>
      <c r="C33" t="n">
        <v>89000</v>
      </c>
      <c r="D33" s="7" t="n">
        <v>46316</v>
      </c>
      <c r="E33" t="n">
        <v>1</v>
      </c>
    </row>
    <row r="34">
      <c r="A34" t="inlineStr">
        <is>
          <t>INV-5034</t>
        </is>
      </c>
      <c r="B34" t="inlineStr">
        <is>
          <t>Customer 11</t>
        </is>
      </c>
      <c r="C34" t="n">
        <v>39000</v>
      </c>
      <c r="D34" s="7" t="n">
        <v>46351</v>
      </c>
      <c r="E34" t="n">
        <v>6</v>
      </c>
    </row>
    <row r="35">
      <c r="A35" t="inlineStr">
        <is>
          <t>INV-5035</t>
        </is>
      </c>
      <c r="B35" t="inlineStr">
        <is>
          <t>Customer 12</t>
        </is>
      </c>
      <c r="C35" t="n">
        <v>63000</v>
      </c>
      <c r="D35" s="7" t="n">
        <v>46379</v>
      </c>
      <c r="E35" t="n">
        <v>10</v>
      </c>
    </row>
    <row r="36">
      <c r="A36" t="inlineStr">
        <is>
          <t>INV-5036</t>
        </is>
      </c>
      <c r="B36" t="inlineStr">
        <is>
          <t>Customer 1</t>
        </is>
      </c>
      <c r="C36" t="n">
        <v>53000</v>
      </c>
      <c r="D36" s="7" t="n">
        <v>46344</v>
      </c>
      <c r="E36" t="n">
        <v>5</v>
      </c>
    </row>
    <row r="37">
      <c r="A37" t="inlineStr">
        <is>
          <t>INV-5037</t>
        </is>
      </c>
      <c r="B37" t="inlineStr">
        <is>
          <t>Customer 2</t>
        </is>
      </c>
      <c r="C37" t="n">
        <v>23000</v>
      </c>
      <c r="D37" s="7" t="n">
        <v>46379</v>
      </c>
      <c r="E37" t="n">
        <v>10</v>
      </c>
    </row>
    <row r="38">
      <c r="A38" t="inlineStr">
        <is>
          <t>INV-5038</t>
        </is>
      </c>
      <c r="B38" t="inlineStr">
        <is>
          <t>Customer 3</t>
        </is>
      </c>
      <c r="C38" t="n">
        <v>72000</v>
      </c>
      <c r="D38" s="7" t="n">
        <v>46323</v>
      </c>
      <c r="E38" t="n">
        <v>2</v>
      </c>
    </row>
    <row r="39">
      <c r="A39" t="inlineStr">
        <is>
          <t>INV-5039</t>
        </is>
      </c>
      <c r="B39" t="inlineStr">
        <is>
          <t>Customer 4</t>
        </is>
      </c>
      <c r="C39" t="n">
        <v>75000</v>
      </c>
      <c r="D39" s="7" t="n">
        <v>46386</v>
      </c>
      <c r="E39" t="n">
        <v>11</v>
      </c>
    </row>
    <row r="40">
      <c r="A40" t="inlineStr">
        <is>
          <t>INV-5040</t>
        </is>
      </c>
      <c r="B40" t="inlineStr">
        <is>
          <t>Customer 5</t>
        </is>
      </c>
      <c r="C40" t="n">
        <v>22000</v>
      </c>
      <c r="D40" s="7" t="n">
        <v>46337</v>
      </c>
      <c r="E40" t="n">
        <v>4</v>
      </c>
    </row>
    <row r="41">
      <c r="A41" t="inlineStr">
        <is>
          <t>INV-5041</t>
        </is>
      </c>
      <c r="B41" t="inlineStr">
        <is>
          <t>Customer 6</t>
        </is>
      </c>
      <c r="C41" t="n">
        <v>92000</v>
      </c>
      <c r="D41" s="7" t="n">
        <v>46379</v>
      </c>
      <c r="E41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Vendor</t>
        </is>
      </c>
      <c r="B1" s="2" t="inlineStr">
        <is>
          <t>Amount</t>
        </is>
      </c>
      <c r="C1" s="2" t="inlineStr">
        <is>
          <t>Pay Week</t>
        </is>
      </c>
      <c r="D1" s="2" t="inlineStr">
        <is>
          <t>Category</t>
        </is>
      </c>
    </row>
    <row r="2">
      <c r="A2" t="inlineStr">
        <is>
          <t>Vendor 3</t>
        </is>
      </c>
      <c r="B2" t="n">
        <v>44000</v>
      </c>
      <c r="C2" t="n">
        <v>5</v>
      </c>
      <c r="D2" t="inlineStr">
        <is>
          <t>Capex</t>
        </is>
      </c>
    </row>
    <row r="3">
      <c r="A3" t="inlineStr">
        <is>
          <t>Vendor 4</t>
        </is>
      </c>
      <c r="B3" t="n">
        <v>53000</v>
      </c>
      <c r="C3" t="n">
        <v>4</v>
      </c>
      <c r="D3" t="inlineStr">
        <is>
          <t>Opex</t>
        </is>
      </c>
    </row>
    <row r="4">
      <c r="A4" t="inlineStr">
        <is>
          <t>Vendor 5</t>
        </is>
      </c>
      <c r="B4" t="n">
        <v>22000</v>
      </c>
      <c r="C4" t="n">
        <v>4</v>
      </c>
      <c r="D4" t="inlineStr">
        <is>
          <t>Capex</t>
        </is>
      </c>
    </row>
    <row r="5">
      <c r="A5" t="inlineStr">
        <is>
          <t>Vendor 6</t>
        </is>
      </c>
      <c r="B5" t="n">
        <v>6000</v>
      </c>
      <c r="C5" t="n">
        <v>4</v>
      </c>
      <c r="D5" t="inlineStr">
        <is>
          <t>COGS</t>
        </is>
      </c>
    </row>
    <row r="6">
      <c r="A6" t="inlineStr">
        <is>
          <t>Vendor 7</t>
        </is>
      </c>
      <c r="B6" t="n">
        <v>26000</v>
      </c>
      <c r="C6" t="n">
        <v>13</v>
      </c>
      <c r="D6" t="inlineStr">
        <is>
          <t>COGS</t>
        </is>
      </c>
    </row>
    <row r="7">
      <c r="A7" t="inlineStr">
        <is>
          <t>Vendor 8</t>
        </is>
      </c>
      <c r="B7" t="n">
        <v>47000</v>
      </c>
      <c r="C7" t="n">
        <v>11</v>
      </c>
      <c r="D7" t="inlineStr">
        <is>
          <t>Capex</t>
        </is>
      </c>
    </row>
    <row r="8">
      <c r="A8" t="inlineStr">
        <is>
          <t>Vendor 9</t>
        </is>
      </c>
      <c r="B8" t="n">
        <v>44000</v>
      </c>
      <c r="C8" t="n">
        <v>11</v>
      </c>
      <c r="D8" t="inlineStr">
        <is>
          <t>Opex</t>
        </is>
      </c>
    </row>
    <row r="9">
      <c r="A9" t="inlineStr">
        <is>
          <t>Vendor 1</t>
        </is>
      </c>
      <c r="B9" t="n">
        <v>54000</v>
      </c>
      <c r="C9" t="n">
        <v>7</v>
      </c>
      <c r="D9" t="inlineStr">
        <is>
          <t>Opex</t>
        </is>
      </c>
    </row>
    <row r="10">
      <c r="A10" t="inlineStr">
        <is>
          <t>Vendor 2</t>
        </is>
      </c>
      <c r="B10" t="n">
        <v>67000</v>
      </c>
      <c r="C10" t="n">
        <v>3</v>
      </c>
      <c r="D10" t="inlineStr">
        <is>
          <t>COGS</t>
        </is>
      </c>
    </row>
    <row r="11">
      <c r="A11" t="inlineStr">
        <is>
          <t>Vendor 3</t>
        </is>
      </c>
      <c r="B11" t="n">
        <v>59000</v>
      </c>
      <c r="C11" t="n">
        <v>3</v>
      </c>
      <c r="D11" t="inlineStr">
        <is>
          <t>Capex</t>
        </is>
      </c>
    </row>
    <row r="12">
      <c r="A12" t="inlineStr">
        <is>
          <t>Vendor 4</t>
        </is>
      </c>
      <c r="B12" t="n">
        <v>55000</v>
      </c>
      <c r="C12" t="n">
        <v>12</v>
      </c>
      <c r="D12" t="inlineStr">
        <is>
          <t>COGS</t>
        </is>
      </c>
    </row>
    <row r="13">
      <c r="A13" t="inlineStr">
        <is>
          <t>Vendor 5</t>
        </is>
      </c>
      <c r="B13" t="n">
        <v>36000</v>
      </c>
      <c r="C13" t="n">
        <v>8</v>
      </c>
      <c r="D13" t="inlineStr">
        <is>
          <t>COGS</t>
        </is>
      </c>
    </row>
    <row r="14">
      <c r="A14" t="inlineStr">
        <is>
          <t>Vendor 6</t>
        </is>
      </c>
      <c r="B14" t="n">
        <v>62000</v>
      </c>
      <c r="C14" t="n">
        <v>10</v>
      </c>
      <c r="D14" t="inlineStr">
        <is>
          <t>Opex</t>
        </is>
      </c>
    </row>
    <row r="15">
      <c r="A15" t="inlineStr">
        <is>
          <t>Vendor 7</t>
        </is>
      </c>
      <c r="B15" t="n">
        <v>53000</v>
      </c>
      <c r="C15" t="n">
        <v>13</v>
      </c>
      <c r="D15" t="inlineStr">
        <is>
          <t>COGS</t>
        </is>
      </c>
    </row>
    <row r="16">
      <c r="A16" t="inlineStr">
        <is>
          <t>Vendor 8</t>
        </is>
      </c>
      <c r="B16" t="n">
        <v>59000</v>
      </c>
      <c r="C16" t="n">
        <v>9</v>
      </c>
      <c r="D16" t="inlineStr">
        <is>
          <t>Opex</t>
        </is>
      </c>
    </row>
    <row r="17">
      <c r="A17" t="inlineStr">
        <is>
          <t>Vendor 9</t>
        </is>
      </c>
      <c r="B17" t="n">
        <v>57000</v>
      </c>
      <c r="C17" t="n">
        <v>5</v>
      </c>
      <c r="D17" t="inlineStr">
        <is>
          <t>COGS</t>
        </is>
      </c>
    </row>
    <row r="18">
      <c r="A18" t="inlineStr">
        <is>
          <t>Vendor 1</t>
        </is>
      </c>
      <c r="B18" t="n">
        <v>39000</v>
      </c>
      <c r="C18" t="n">
        <v>4</v>
      </c>
      <c r="D18" t="inlineStr">
        <is>
          <t>Opex</t>
        </is>
      </c>
    </row>
    <row r="19">
      <c r="A19" t="inlineStr">
        <is>
          <t>Vendor 2</t>
        </is>
      </c>
      <c r="B19" t="n">
        <v>27000</v>
      </c>
      <c r="C19" t="n">
        <v>8</v>
      </c>
      <c r="D19" t="inlineStr">
        <is>
          <t>COGS</t>
        </is>
      </c>
    </row>
    <row r="20">
      <c r="A20" t="inlineStr">
        <is>
          <t>Vendor 3</t>
        </is>
      </c>
      <c r="B20" t="n">
        <v>20000</v>
      </c>
      <c r="C20" t="n">
        <v>1</v>
      </c>
      <c r="D20" t="inlineStr">
        <is>
          <t>Opex</t>
        </is>
      </c>
    </row>
    <row r="21">
      <c r="A21" t="inlineStr">
        <is>
          <t>Vendor 4</t>
        </is>
      </c>
      <c r="B21" t="n">
        <v>51000</v>
      </c>
      <c r="C21" t="n">
        <v>10</v>
      </c>
      <c r="D21" t="inlineStr">
        <is>
          <t>COGS</t>
        </is>
      </c>
    </row>
    <row r="22">
      <c r="A22" t="inlineStr">
        <is>
          <t>Vendor 5</t>
        </is>
      </c>
      <c r="B22" t="n">
        <v>69000</v>
      </c>
      <c r="C22" t="n">
        <v>5</v>
      </c>
      <c r="D22" t="inlineStr">
        <is>
          <t>Opex</t>
        </is>
      </c>
    </row>
    <row r="23">
      <c r="A23" t="inlineStr">
        <is>
          <t>Vendor 6</t>
        </is>
      </c>
      <c r="B23" t="n">
        <v>37000</v>
      </c>
      <c r="C23" t="n">
        <v>6</v>
      </c>
      <c r="D23" t="inlineStr">
        <is>
          <t>Opex</t>
        </is>
      </c>
    </row>
    <row r="24">
      <c r="A24" t="inlineStr">
        <is>
          <t>Vendor 7</t>
        </is>
      </c>
      <c r="B24" t="n">
        <v>67000</v>
      </c>
      <c r="C24" t="n">
        <v>7</v>
      </c>
      <c r="D24" t="inlineStr">
        <is>
          <t>Opex</t>
        </is>
      </c>
    </row>
    <row r="25">
      <c r="A25" t="inlineStr">
        <is>
          <t>Vendor 8</t>
        </is>
      </c>
      <c r="B25" t="n">
        <v>65000</v>
      </c>
      <c r="C25" t="n">
        <v>10</v>
      </c>
      <c r="D25" t="inlineStr">
        <is>
          <t>Capex</t>
        </is>
      </c>
    </row>
    <row r="26">
      <c r="A26" t="inlineStr">
        <is>
          <t>Vendor 9</t>
        </is>
      </c>
      <c r="B26" t="n">
        <v>67000</v>
      </c>
      <c r="C26" t="n">
        <v>8</v>
      </c>
      <c r="D26" t="inlineStr">
        <is>
          <t>COGS</t>
        </is>
      </c>
    </row>
    <row r="27">
      <c r="A27" t="inlineStr">
        <is>
          <t>Vendor 1</t>
        </is>
      </c>
      <c r="B27" t="n">
        <v>53000</v>
      </c>
      <c r="C27" t="n">
        <v>12</v>
      </c>
      <c r="D27" t="inlineStr">
        <is>
          <t>Opex</t>
        </is>
      </c>
    </row>
    <row r="28">
      <c r="A28" t="inlineStr">
        <is>
          <t>Vendor 2</t>
        </is>
      </c>
      <c r="B28" t="n">
        <v>64000</v>
      </c>
      <c r="C28" t="n">
        <v>5</v>
      </c>
      <c r="D28" t="inlineStr">
        <is>
          <t>Opex</t>
        </is>
      </c>
    </row>
    <row r="29">
      <c r="A29" t="inlineStr">
        <is>
          <t>Vendor 3</t>
        </is>
      </c>
      <c r="B29" t="n">
        <v>25000</v>
      </c>
      <c r="C29" t="n">
        <v>6</v>
      </c>
      <c r="D29" t="inlineStr">
        <is>
          <t>Capex</t>
        </is>
      </c>
    </row>
    <row r="30">
      <c r="A30" t="inlineStr">
        <is>
          <t>Vendor 4</t>
        </is>
      </c>
      <c r="B30" t="n">
        <v>39000</v>
      </c>
      <c r="C30" t="n">
        <v>7</v>
      </c>
      <c r="D30" t="inlineStr">
        <is>
          <t>Opex</t>
        </is>
      </c>
    </row>
    <row r="31">
      <c r="A31" t="inlineStr">
        <is>
          <t>Vendor 5</t>
        </is>
      </c>
      <c r="B31" t="n">
        <v>55000</v>
      </c>
      <c r="C31" t="n">
        <v>11</v>
      </c>
      <c r="D31" t="inlineStr">
        <is>
          <t>Opex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2026-10-20T15:39:10Z</dcterms:created>
  <dcterms:modified xsi:type="dcterms:W3CDTF">2026-10-20T15:39:10Z</dcterms:modified>
</cp:coreProperties>
</file>