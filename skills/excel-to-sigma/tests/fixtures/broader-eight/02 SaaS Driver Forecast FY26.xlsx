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" sheetId="1" state="visible" r:id="rId1"/>
    <sheet name="Data" sheetId="2" state="visible" r:id="rId2"/>
    <sheet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#,##0;[Red](#,##0)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D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Revenue, EBITDA &amp; Net Income</a:t>
            </a:r>
          </a:p>
        </rich>
      </tx>
    </title>
    <plotArea>
      <lineChart>
        <grouping val="standard"/>
        <ser>
          <idx val="0"/>
          <order val="0"/>
          <tx>
            <strRef>
              <f>'P&amp;L'!A9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'P&amp;L'!$B$4:$M$4</f>
            </numRef>
          </cat>
          <val>
            <numRef>
              <f>'P&amp;L'!$B$9:$M$9</f>
            </numRef>
          </val>
        </ser>
        <ser>
          <idx val="1"/>
          <order val="1"/>
          <tx>
            <strRef>
              <f>'P&amp;L'!A24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'P&amp;L'!$B$4:$M$4</f>
            </numRef>
          </cat>
          <val>
            <numRef>
              <f>'P&amp;L'!$B$24:$M$24</f>
            </numRef>
          </val>
        </ser>
        <ser>
          <idx val="2"/>
          <order val="2"/>
          <tx>
            <strRef>
              <f>'P&amp;L'!A31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'P&amp;L'!$B$4:$M$4</f>
            </numRef>
          </cat>
          <val>
            <numRef>
              <f>'P&amp;L'!$B$31:$M$31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FY26 Monthly P&amp;L — Actuals Jan-Jun, Forecast Jul-Dec</t>
        </is>
      </c>
    </row>
    <row r="3">
      <c r="B3" t="inlineStr">
        <is>
          <t>ACTUALS</t>
        </is>
      </c>
      <c r="H3" t="inlineStr">
        <is>
          <t>FORECAST</t>
        </is>
      </c>
    </row>
    <row r="4">
      <c r="A4" s="2" t="inlineStr">
        <is>
          <t>Line Item</t>
        </is>
      </c>
      <c r="B4" s="2" t="inlineStr">
        <is>
          <t>Jan-26</t>
        </is>
      </c>
      <c r="C4" s="2" t="inlineStr">
        <is>
          <t>Feb-26</t>
        </is>
      </c>
      <c r="D4" s="2" t="inlineStr">
        <is>
          <t>Mar-26</t>
        </is>
      </c>
      <c r="E4" s="2" t="inlineStr">
        <is>
          <t>Apr-26</t>
        </is>
      </c>
      <c r="F4" s="2" t="inlineStr">
        <is>
          <t>May-26</t>
        </is>
      </c>
      <c r="G4" s="2" t="inlineStr">
        <is>
          <t>Jun-26</t>
        </is>
      </c>
      <c r="H4" s="2" t="inlineStr">
        <is>
          <t>Jul-26</t>
        </is>
      </c>
      <c r="I4" s="2" t="inlineStr">
        <is>
          <t>Aug-26</t>
        </is>
      </c>
      <c r="J4" s="2" t="inlineStr">
        <is>
          <t>Sep-26</t>
        </is>
      </c>
      <c r="K4" s="2" t="inlineStr">
        <is>
          <t>Oct-26</t>
        </is>
      </c>
      <c r="L4" s="2" t="inlineStr">
        <is>
          <t>Nov-26</t>
        </is>
      </c>
      <c r="M4" s="2" t="inlineStr">
        <is>
          <t>Dec-26</t>
        </is>
      </c>
      <c r="N4" s="2" t="inlineStr">
        <is>
          <t>FY26</t>
        </is>
      </c>
    </row>
    <row r="6">
      <c r="A6" s="3" t="inlineStr">
        <is>
          <t>Revenue</t>
        </is>
      </c>
    </row>
    <row r="7">
      <c r="A7" t="inlineStr">
        <is>
          <t>Subscription Revenue</t>
        </is>
      </c>
      <c r="B7" s="4">
        <f>SUMIFS(Data!$F:$F,Data!$C:$C,$A7,Data!$B:$B,B$4)</f>
        <v>477963</v>
      </c>
      <c r="C7" s="4">
        <f>SUMIFS(Data!$F:$F,Data!$C:$C,$A7,Data!$B:$B,C$4)</f>
        <v>484010</v>
      </c>
      <c r="D7" s="4">
        <f>SUMIFS(Data!$F:$F,Data!$C:$C,$A7,Data!$B:$B,D$4)</f>
        <v>489715</v>
      </c>
      <c r="E7" s="4">
        <f>SUMIFS(Data!$F:$F,Data!$C:$C,$A7,Data!$B:$B,E$4)</f>
        <v>497737</v>
      </c>
      <c r="F7" s="4">
        <f>SUMIFS(Data!$F:$F,Data!$C:$C,$A7,Data!$B:$B,F$4)</f>
        <v>501925</v>
      </c>
      <c r="G7" s="4">
        <f>SUMIFS(Data!$F:$F,Data!$C:$C,$A7,Data!$B:$B,G$4)</f>
        <v>508824</v>
      </c>
      <c r="H7" s="4">
        <f>G7*(1+Assumptions!$B$5)</f>
        <v>524088.72000000003</v>
      </c>
      <c r="I7" s="4">
        <f>H7*(1+Assumptions!$B$5)</f>
        <v>539811.3816000001</v>
      </c>
      <c r="J7" s="4">
        <f>I7*(1+Assumptions!$B$5)</f>
        <v>556005.7230480001</v>
      </c>
      <c r="K7" s="4">
        <f>J7*(1+Assumptions!$B$5)</f>
        <v>572685.8947394402</v>
      </c>
      <c r="L7" s="4">
        <f>K7*(1+Assumptions!$B$5)</f>
        <v>589866.4715816234</v>
      </c>
      <c r="M7" s="4">
        <f>L7*(1+Assumptions!$B$5)</f>
        <v>607562.4657290721</v>
      </c>
      <c r="N7" s="4">
        <f>SUM(B7:M7)</f>
        <v>6350194.656698136</v>
      </c>
    </row>
    <row r="8">
      <c r="A8" t="inlineStr">
        <is>
          <t>Professional Services</t>
        </is>
      </c>
      <c r="B8" s="4">
        <f>SUMIFS(Data!$F:$F,Data!$C:$C,$A8,Data!$B:$B,B$4)</f>
        <v>61560</v>
      </c>
      <c r="C8" s="4">
        <f>SUMIFS(Data!$F:$F,Data!$C:$C,$A8,Data!$B:$B,C$4)</f>
        <v>65207</v>
      </c>
      <c r="D8" s="4">
        <f>SUMIFS(Data!$F:$F,Data!$C:$C,$A8,Data!$B:$B,D$4)</f>
        <v>62726</v>
      </c>
      <c r="E8" s="4">
        <f>SUMIFS(Data!$F:$F,Data!$C:$C,$A8,Data!$B:$B,E$4)</f>
        <v>66702</v>
      </c>
      <c r="F8" s="4">
        <f>SUMIFS(Data!$F:$F,Data!$C:$C,$A8,Data!$B:$B,F$4)</f>
        <v>62768</v>
      </c>
      <c r="G8" s="4">
        <f>SUMIFS(Data!$F:$F,Data!$C:$C,$A8,Data!$B:$B,G$4)</f>
        <v>67981</v>
      </c>
      <c r="H8" s="4" t="n">
        <v>70000</v>
      </c>
      <c r="I8" s="4" t="n">
        <v>64000</v>
      </c>
      <c r="J8" s="4" t="n">
        <v>78000</v>
      </c>
      <c r="K8" s="4" t="n">
        <v>66000</v>
      </c>
      <c r="L8" s="4" t="n">
        <v>74000</v>
      </c>
      <c r="M8" s="4" t="n">
        <v>95000</v>
      </c>
      <c r="N8" s="4">
        <f>SUM(B8:M8)</f>
        <v>833944</v>
      </c>
    </row>
    <row r="9">
      <c r="A9" s="3" t="inlineStr">
        <is>
          <t>Total Revenue</t>
        </is>
      </c>
      <c r="B9" s="4">
        <f>SUM(B7:B8)</f>
        <v>539523</v>
      </c>
      <c r="C9" s="4">
        <f>SUM(C7:C8)</f>
        <v>549217</v>
      </c>
      <c r="D9" s="4">
        <f>SUM(D7:D8)</f>
        <v>552441</v>
      </c>
      <c r="E9" s="4">
        <f>SUM(E7:E8)</f>
        <v>564439</v>
      </c>
      <c r="F9" s="4">
        <f>SUM(F7:F8)</f>
        <v>564693</v>
      </c>
      <c r="G9" s="4">
        <f>SUM(G7:G8)</f>
        <v>576805</v>
      </c>
      <c r="H9" s="4">
        <f>SUM(H7:H8)</f>
        <v>594088.72</v>
      </c>
      <c r="I9" s="4">
        <f>SUM(I7:I8)</f>
        <v>603811.3816000001</v>
      </c>
      <c r="J9" s="4">
        <f>SUM(J7:J8)</f>
        <v>634005.7230480001</v>
      </c>
      <c r="K9" s="4">
        <f>SUM(K7:K8)</f>
        <v>638685.8947394402</v>
      </c>
      <c r="L9" s="4">
        <f>SUM(L7:L8)</f>
        <v>663866.4715816234</v>
      </c>
      <c r="M9" s="4">
        <f>SUM(M7:M8)</f>
        <v>702562.4657290721</v>
      </c>
      <c r="N9" s="4">
        <f>SUM(N7:N8)</f>
        <v>7184138.656698136</v>
      </c>
    </row>
    <row r="11">
      <c r="A11" s="3" t="inlineStr">
        <is>
          <t>Cost of Revenue</t>
        </is>
      </c>
    </row>
    <row r="12">
      <c r="A12" t="inlineStr">
        <is>
          <t>Hosting &amp; Infrastructure</t>
        </is>
      </c>
      <c r="B12" s="4">
        <f>SUMIFS(Data!$F:$F,Data!$C:$C,$A12,Data!$B:$B,B$4)</f>
        <v>59797</v>
      </c>
      <c r="C12" s="4">
        <f>SUMIFS(Data!$F:$F,Data!$C:$C,$A12,Data!$B:$B,C$4)</f>
        <v>62760</v>
      </c>
      <c r="D12" s="4">
        <f>SUMIFS(Data!$F:$F,Data!$C:$C,$A12,Data!$B:$B,D$4)</f>
        <v>63187</v>
      </c>
      <c r="E12" s="4">
        <f>SUMIFS(Data!$F:$F,Data!$C:$C,$A12,Data!$B:$B,E$4)</f>
        <v>64866</v>
      </c>
      <c r="F12" s="4">
        <f>SUMIFS(Data!$F:$F,Data!$C:$C,$A12,Data!$B:$B,F$4)</f>
        <v>64475</v>
      </c>
      <c r="G12" s="4">
        <f>SUMIFS(Data!$F:$F,Data!$C:$C,$A12,Data!$B:$B,G$4)</f>
        <v>66617</v>
      </c>
      <c r="H12" s="4">
        <f>G12*(1+Assumptions!$B$6)</f>
        <v>67616.25499999999</v>
      </c>
      <c r="I12" s="4">
        <f>H12*(1+Assumptions!$B$6)</f>
        <v>68630.49882499999</v>
      </c>
      <c r="J12" s="4">
        <f>I12*(1+Assumptions!$B$6)</f>
        <v>69659.95630737497</v>
      </c>
      <c r="K12" s="4">
        <f>J12*(1+Assumptions!$B$6)</f>
        <v>70704.85565198559</v>
      </c>
      <c r="L12" s="4">
        <f>K12*(1+Assumptions!$B$6)</f>
        <v>71765.42848676536</v>
      </c>
      <c r="M12" s="4">
        <f>L12*(1+Assumptions!$B$6)</f>
        <v>72841.90991406684</v>
      </c>
      <c r="N12" s="4">
        <f>SUM(B12:M12)</f>
        <v>802920.9041851928</v>
      </c>
    </row>
    <row r="13">
      <c r="A13" t="inlineStr">
        <is>
          <t>Customer Support</t>
        </is>
      </c>
      <c r="B13" s="4">
        <f>SUMIFS(Data!$F:$F,Data!$C:$C,$A13,Data!$B:$B,B$4)</f>
        <v>44144</v>
      </c>
      <c r="C13" s="4">
        <f>SUMIFS(Data!$F:$F,Data!$C:$C,$A13,Data!$B:$B,C$4)</f>
        <v>45128</v>
      </c>
      <c r="D13" s="4">
        <f>SUMIFS(Data!$F:$F,Data!$C:$C,$A13,Data!$B:$B,D$4)</f>
        <v>43729</v>
      </c>
      <c r="E13" s="4">
        <f>SUMIFS(Data!$F:$F,Data!$C:$C,$A13,Data!$B:$B,E$4)</f>
        <v>42342</v>
      </c>
      <c r="F13" s="4">
        <f>SUMIFS(Data!$F:$F,Data!$C:$C,$A13,Data!$B:$B,F$4)</f>
        <v>42788</v>
      </c>
      <c r="G13" s="4">
        <f>SUMIFS(Data!$F:$F,Data!$C:$C,$A13,Data!$B:$B,G$4)</f>
        <v>46062</v>
      </c>
      <c r="H13" s="4">
        <f>G13*(1+Assumptions!$B$7)</f>
        <v>46522.62</v>
      </c>
      <c r="I13" s="4">
        <f>H13*(1+Assumptions!$B$7)</f>
        <v>46987.8462</v>
      </c>
      <c r="J13" s="4">
        <f>I13*(1+Assumptions!$B$7)</f>
        <v>47457.724662</v>
      </c>
      <c r="K13" s="4">
        <f>J13*(1+Assumptions!$B$7)</f>
        <v>47932.30190862</v>
      </c>
      <c r="L13" s="4">
        <f>K13*(1+Assumptions!$B$7)</f>
        <v>48411.6249277062</v>
      </c>
      <c r="M13" s="4">
        <f>L13*(1+Assumptions!$B$7)</f>
        <v>48895.74117698326</v>
      </c>
      <c r="N13" s="4">
        <f>SUM(B13:M13)</f>
        <v>550400.8588753095</v>
      </c>
    </row>
    <row r="14">
      <c r="A14" s="3" t="inlineStr">
        <is>
          <t>Total Cost of Revenue</t>
        </is>
      </c>
      <c r="B14" s="4">
        <f>SUM(B12:B13)</f>
        <v>103941</v>
      </c>
      <c r="C14" s="4">
        <f>SUM(C12:C13)</f>
        <v>107888</v>
      </c>
      <c r="D14" s="4">
        <f>SUM(D12:D13)</f>
        <v>106916</v>
      </c>
      <c r="E14" s="4">
        <f>SUM(E12:E13)</f>
        <v>107208</v>
      </c>
      <c r="F14" s="4">
        <f>SUM(F12:F13)</f>
        <v>107263</v>
      </c>
      <c r="G14" s="4">
        <f>SUM(G12:G13)</f>
        <v>112679</v>
      </c>
      <c r="H14" s="4">
        <f>SUM(H12:H13)</f>
        <v>114138.875</v>
      </c>
      <c r="I14" s="4">
        <f>SUM(I12:I13)</f>
        <v>115618.34502499999</v>
      </c>
      <c r="J14" s="4">
        <f>SUM(J12:J13)</f>
        <v>117117.68096937498</v>
      </c>
      <c r="K14" s="4">
        <f>SUM(K12:K13)</f>
        <v>118637.15756060558</v>
      </c>
      <c r="L14" s="4">
        <f>SUM(L12:L13)</f>
        <v>120177.05341447156</v>
      </c>
      <c r="M14" s="4">
        <f>SUM(M12:M13)</f>
        <v>121737.6510910501</v>
      </c>
      <c r="N14" s="4">
        <f>SUM(N12:N13)</f>
        <v>1353321.7630605022</v>
      </c>
    </row>
    <row r="15">
      <c r="A15" s="3" t="inlineStr">
        <is>
          <t>Gross Profit</t>
        </is>
      </c>
      <c r="B15" s="4">
        <f>B9-B14</f>
        <v>435582</v>
      </c>
      <c r="C15" s="4">
        <f>C9-C14</f>
        <v>441329</v>
      </c>
      <c r="D15" s="4">
        <f>D9-D14</f>
        <v>445525</v>
      </c>
      <c r="E15" s="4">
        <f>E9-E14</f>
        <v>457231</v>
      </c>
      <c r="F15" s="4">
        <f>F9-F14</f>
        <v>457430</v>
      </c>
      <c r="G15" s="4">
        <f>G9-G14</f>
        <v>464126</v>
      </c>
      <c r="H15" s="4">
        <f>H9-H14</f>
        <v>479949.845</v>
      </c>
      <c r="I15" s="4">
        <f>I9-I14</f>
        <v>488193.0365750001</v>
      </c>
      <c r="J15" s="4">
        <f>J9-J14</f>
        <v>516888.0420786252</v>
      </c>
      <c r="K15" s="4">
        <f>K9-K14</f>
        <v>520048.7371788346</v>
      </c>
      <c r="L15" s="4">
        <f>L9-L14</f>
        <v>543689.4181671519</v>
      </c>
      <c r="M15" s="4">
        <f>M9-M14</f>
        <v>580824.814638022</v>
      </c>
      <c r="N15" s="4">
        <f>N9-N14</f>
        <v>5830816.893637633</v>
      </c>
    </row>
    <row r="16">
      <c r="A16" t="inlineStr">
        <is>
          <t>Gross Margin %</t>
        </is>
      </c>
      <c r="B16" s="5">
        <f>IF(B9=0,0,B15/B9)</f>
        <v>0.8073464893989691</v>
      </c>
      <c r="C16" s="5">
        <f>IF(C9=0,0,C15/C9)</f>
        <v>0.8035603413586979</v>
      </c>
      <c r="D16" s="5">
        <f>IF(D9=0,0,D15/D9)</f>
        <v>0.8064662108713871</v>
      </c>
      <c r="E16" s="5">
        <f>IF(E9=0,0,E15/E9)</f>
        <v>0.8100627348570882</v>
      </c>
      <c r="F16" s="5">
        <f>IF(F9=0,0,F15/F9)</f>
        <v>0.810050770949879</v>
      </c>
      <c r="G16" s="5">
        <f>IF(G9=0,0,G15/G9)</f>
        <v>0.8046497516491709</v>
      </c>
      <c r="H16" s="5">
        <f>IF(H9=0,0,H15/H9)</f>
        <v>0.8078757075205871</v>
      </c>
      <c r="I16" s="5">
        <f>IF(I9=0,0,I15/I9)</f>
        <v>0.8085191029048996</v>
      </c>
      <c r="J16" s="5">
        <f>IF(J9=0,0,J15/J9)</f>
        <v>0.815273464084317</v>
      </c>
      <c r="K16" s="5">
        <f>IF(K9=0,0,K15/K9)</f>
        <v>0.814248038765589</v>
      </c>
      <c r="L16" s="5">
        <f>IF(L9=0,0,L15/L9)</f>
        <v>0.8189740579484958</v>
      </c>
      <c r="M16" s="5">
        <f>IF(M9=0,0,M15/M9)</f>
        <v>0.8267233775935938</v>
      </c>
      <c r="N16" s="5">
        <f>IF(N9=0,0,N15/N9)</f>
        <v>0.8116236576532759</v>
      </c>
    </row>
    <row r="18">
      <c r="A18" s="3" t="inlineStr">
        <is>
          <t>Operating Expenses</t>
        </is>
      </c>
    </row>
    <row r="19">
      <c r="A19" t="inlineStr">
        <is>
          <t>Sales &amp; Marketing</t>
        </is>
      </c>
      <c r="B19" s="4">
        <f>SUMIFS(Data!$F:$F,Data!$C:$C,$A19,Data!$B:$B,B$4)</f>
        <v>159308</v>
      </c>
      <c r="C19" s="4">
        <f>SUMIFS(Data!$F:$F,Data!$C:$C,$A19,Data!$B:$B,C$4)</f>
        <v>160004</v>
      </c>
      <c r="D19" s="4">
        <f>SUMIFS(Data!$F:$F,Data!$C:$C,$A19,Data!$B:$B,D$4)</f>
        <v>162405</v>
      </c>
      <c r="E19" s="4">
        <f>SUMIFS(Data!$F:$F,Data!$C:$C,$A19,Data!$B:$B,E$4)</f>
        <v>164658</v>
      </c>
      <c r="F19" s="4">
        <f>SUMIFS(Data!$F:$F,Data!$C:$C,$A19,Data!$B:$B,F$4)</f>
        <v>167390</v>
      </c>
      <c r="G19" s="4">
        <f>SUMIFS(Data!$F:$F,Data!$C:$C,$A19,Data!$B:$B,G$4)</f>
        <v>166327</v>
      </c>
      <c r="H19" s="4">
        <f>G19*(1+Assumptions!$B$8)</f>
        <v>169653.54</v>
      </c>
      <c r="I19" s="4">
        <f>H19*(1+Assumptions!$B$8)</f>
        <v>173046.61080000002</v>
      </c>
      <c r="J19" s="4">
        <f>I19*(1+Assumptions!$B$8)</f>
        <v>176507.54301600004</v>
      </c>
      <c r="K19" s="4">
        <f>J19*(1+Assumptions!$B$8)</f>
        <v>180037.69387632003</v>
      </c>
      <c r="L19" s="4">
        <f>K19*(1+Assumptions!$B$8)</f>
        <v>183638.44775384644</v>
      </c>
      <c r="M19" s="4">
        <f>L19*(1+Assumptions!$B$8)</f>
        <v>187311.21670892337</v>
      </c>
      <c r="N19" s="4">
        <f>SUM(B19:M19)</f>
        <v>2050287.05215509</v>
      </c>
    </row>
    <row r="20">
      <c r="A20" t="inlineStr">
        <is>
          <t>Research &amp; Development</t>
        </is>
      </c>
      <c r="B20" s="4">
        <f>SUMIFS(Data!$F:$F,Data!$C:$C,$A20,Data!$B:$B,B$4)</f>
        <v>173091</v>
      </c>
      <c r="C20" s="4">
        <f>SUMIFS(Data!$F:$F,Data!$C:$C,$A20,Data!$B:$B,C$4)</f>
        <v>172005</v>
      </c>
      <c r="D20" s="4">
        <f>SUMIFS(Data!$F:$F,Data!$C:$C,$A20,Data!$B:$B,D$4)</f>
        <v>174538</v>
      </c>
      <c r="E20" s="4">
        <f>SUMIFS(Data!$F:$F,Data!$C:$C,$A20,Data!$B:$B,E$4)</f>
        <v>176545</v>
      </c>
      <c r="F20" s="4">
        <f>SUMIFS(Data!$F:$F,Data!$C:$C,$A20,Data!$B:$B,F$4)</f>
        <v>176903</v>
      </c>
      <c r="G20" s="4">
        <f>SUMIFS(Data!$F:$F,Data!$C:$C,$A20,Data!$B:$B,G$4)</f>
        <v>180207</v>
      </c>
      <c r="H20" s="4">
        <f>G20*(1+Assumptions!$B$9)</f>
        <v>182009.07</v>
      </c>
      <c r="I20" s="4">
        <f>H20*(1+Assumptions!$B$9)</f>
        <v>183829.1607</v>
      </c>
      <c r="J20" s="4">
        <f>I20*(1+Assumptions!$B$9)</f>
        <v>185667.452307</v>
      </c>
      <c r="K20" s="4">
        <f>J20*(1+Assumptions!$B$9)</f>
        <v>187524.12683007</v>
      </c>
      <c r="L20" s="4">
        <f>K20*(1+Assumptions!$B$9)</f>
        <v>189399.3680983707</v>
      </c>
      <c r="M20" s="4">
        <f>L20*(1+Assumptions!$B$9)</f>
        <v>191293.3617793544</v>
      </c>
      <c r="N20" s="4">
        <f>SUM(B20:M20)</f>
        <v>2173011.539714795</v>
      </c>
    </row>
    <row r="21">
      <c r="A21" t="inlineStr">
        <is>
          <t>General &amp; Administrative</t>
        </is>
      </c>
      <c r="B21" s="4">
        <f>SUMIFS(Data!$F:$F,Data!$C:$C,$A21,Data!$B:$B,B$4)</f>
        <v>69163</v>
      </c>
      <c r="C21" s="4">
        <f>SUMIFS(Data!$F:$F,Data!$C:$C,$A21,Data!$B:$B,C$4)</f>
        <v>68750</v>
      </c>
      <c r="D21" s="4">
        <f>SUMIFS(Data!$F:$F,Data!$C:$C,$A21,Data!$B:$B,D$4)</f>
        <v>69275</v>
      </c>
      <c r="E21" s="4">
        <f>SUMIFS(Data!$F:$F,Data!$C:$C,$A21,Data!$B:$B,E$4)</f>
        <v>73163</v>
      </c>
      <c r="F21" s="4">
        <f>SUMIFS(Data!$F:$F,Data!$C:$C,$A21,Data!$B:$B,F$4)</f>
        <v>73991</v>
      </c>
      <c r="G21" s="4">
        <f>SUMIFS(Data!$F:$F,Data!$C:$C,$A21,Data!$B:$B,G$4)</f>
        <v>73586</v>
      </c>
      <c r="H21" s="4">
        <f>G21*(1+Assumptions!$B$10)</f>
        <v>73953.93</v>
      </c>
      <c r="I21" s="4">
        <f>H21*(1+Assumptions!$B$10)</f>
        <v>74323.69964999998</v>
      </c>
      <c r="J21" s="4">
        <f>I21*(1+Assumptions!$B$10)</f>
        <v>74695.31814824998</v>
      </c>
      <c r="K21" s="4">
        <f>J21*(1+Assumptions!$B$10)</f>
        <v>75068.79473899122</v>
      </c>
      <c r="L21" s="4">
        <f>K21*(1+Assumptions!$B$10)</f>
        <v>75444.13871268617</v>
      </c>
      <c r="M21" s="4">
        <f>L21*(1+Assumptions!$B$10)</f>
        <v>75821.35940624958</v>
      </c>
      <c r="N21" s="4">
        <f>SUM(B21:M21)</f>
        <v>877235.2406561769</v>
      </c>
    </row>
    <row r="22">
      <c r="A22" t="inlineStr">
        <is>
          <t>Rent &amp; Facilities</t>
        </is>
      </c>
      <c r="B22" s="4">
        <f>SUMIFS(Data!$F:$F,Data!$C:$C,$A22,Data!$B:$B,B$4)</f>
        <v>32000</v>
      </c>
      <c r="C22" s="4">
        <f>SUMIFS(Data!$F:$F,Data!$C:$C,$A22,Data!$B:$B,C$4)</f>
        <v>32000</v>
      </c>
      <c r="D22" s="4">
        <f>SUMIFS(Data!$F:$F,Data!$C:$C,$A22,Data!$B:$B,D$4)</f>
        <v>32000</v>
      </c>
      <c r="E22" s="4">
        <f>SUMIFS(Data!$F:$F,Data!$C:$C,$A22,Data!$B:$B,E$4)</f>
        <v>32000</v>
      </c>
      <c r="F22" s="4">
        <f>SUMIFS(Data!$F:$F,Data!$C:$C,$A22,Data!$B:$B,F$4)</f>
        <v>32000</v>
      </c>
      <c r="G22" s="4">
        <f>SUMIFS(Data!$F:$F,Data!$C:$C,$A22,Data!$B:$B,G$4)</f>
        <v>32000</v>
      </c>
      <c r="H22" s="4">
        <f>G22</f>
        <v>32000</v>
      </c>
      <c r="I22" s="4">
        <f>H22</f>
        <v>32000</v>
      </c>
      <c r="J22" s="4">
        <f>I22</f>
        <v>32000</v>
      </c>
      <c r="K22" s="4">
        <f>J22</f>
        <v>32000</v>
      </c>
      <c r="L22" s="4">
        <f>K22</f>
        <v>32000</v>
      </c>
      <c r="M22" s="4">
        <f>L22</f>
        <v>32000</v>
      </c>
      <c r="N22" s="4">
        <f>SUM(B22:M22)</f>
        <v>384000</v>
      </c>
    </row>
    <row r="23">
      <c r="A23" s="3" t="inlineStr">
        <is>
          <t>Total Operating Expenses</t>
        </is>
      </c>
      <c r="B23" s="4">
        <f>SUM(B19:B22)</f>
        <v>433562</v>
      </c>
      <c r="C23" s="4">
        <f>SUM(C19:C22)</f>
        <v>432759</v>
      </c>
      <c r="D23" s="4">
        <f>SUM(D19:D22)</f>
        <v>438218</v>
      </c>
      <c r="E23" s="4">
        <f>SUM(E19:E22)</f>
        <v>446366</v>
      </c>
      <c r="F23" s="4">
        <f>SUM(F19:F22)</f>
        <v>450284</v>
      </c>
      <c r="G23" s="4">
        <f>SUM(G19:G22)</f>
        <v>452120</v>
      </c>
      <c r="H23" s="4">
        <f>SUM(H19:H22)</f>
        <v>457616.54000000004</v>
      </c>
      <c r="I23" s="4">
        <f>SUM(I19:I22)</f>
        <v>463199.47115</v>
      </c>
      <c r="J23" s="4">
        <f>SUM(J19:J22)</f>
        <v>468870.31347125</v>
      </c>
      <c r="K23" s="4">
        <f>SUM(K19:K22)</f>
        <v>474630.61544538126</v>
      </c>
      <c r="L23" s="4">
        <f>SUM(L19:L22)</f>
        <v>480481.9545649033</v>
      </c>
      <c r="M23" s="4">
        <f>SUM(M19:M22)</f>
        <v>486425.93789452733</v>
      </c>
      <c r="N23" s="4">
        <f>SUM(N19:N22)</f>
        <v>5484533.832526062</v>
      </c>
    </row>
    <row r="24">
      <c r="A24" s="3" t="inlineStr">
        <is>
          <t>EBITDA</t>
        </is>
      </c>
      <c r="B24" s="4">
        <f>B15-B23</f>
        <v>2020</v>
      </c>
      <c r="C24" s="4">
        <f>C15-C23</f>
        <v>8570</v>
      </c>
      <c r="D24" s="4">
        <f>D15-D23</f>
        <v>7307</v>
      </c>
      <c r="E24" s="4">
        <f>E15-E23</f>
        <v>10865</v>
      </c>
      <c r="F24" s="4">
        <f>F15-F23</f>
        <v>7146</v>
      </c>
      <c r="G24" s="4">
        <f>G15-G23</f>
        <v>12006</v>
      </c>
      <c r="H24" s="4">
        <f>H15-H23</f>
        <v>22333.304999999935</v>
      </c>
      <c r="I24" s="4">
        <f>I15-I23</f>
        <v>24993.565425000095</v>
      </c>
      <c r="J24" s="4">
        <f>J15-J23</f>
        <v>48017.728607375175</v>
      </c>
      <c r="K24" s="4">
        <f>K15-K23</f>
        <v>45418.12173345336</v>
      </c>
      <c r="L24" s="4">
        <f>L15-L23</f>
        <v>63207.46360224858</v>
      </c>
      <c r="M24" s="4">
        <f>M15-M23</f>
        <v>94398.87674349465</v>
      </c>
      <c r="N24" s="4">
        <f>N15-N23</f>
        <v>346283.06111157127</v>
      </c>
    </row>
    <row r="26">
      <c r="A26" s="3" t="inlineStr">
        <is>
          <t>Below the Line</t>
        </is>
      </c>
    </row>
    <row r="27">
      <c r="A27" t="inlineStr">
        <is>
          <t>Interest Expense</t>
        </is>
      </c>
      <c r="B27" s="4">
        <f>SUMIFS(Data!$F:$F,Data!$C:$C,$A27,Data!$B:$B,B$4)</f>
        <v>6500</v>
      </c>
      <c r="C27" s="4">
        <f>SUMIFS(Data!$F:$F,Data!$C:$C,$A27,Data!$B:$B,C$4)</f>
        <v>6500</v>
      </c>
      <c r="D27" s="4">
        <f>SUMIFS(Data!$F:$F,Data!$C:$C,$A27,Data!$B:$B,D$4)</f>
        <v>6500</v>
      </c>
      <c r="E27" s="4">
        <f>SUMIFS(Data!$F:$F,Data!$C:$C,$A27,Data!$B:$B,E$4)</f>
        <v>6500</v>
      </c>
      <c r="F27" s="4">
        <f>SUMIFS(Data!$F:$F,Data!$C:$C,$A27,Data!$B:$B,F$4)</f>
        <v>6500</v>
      </c>
      <c r="G27" s="4">
        <f>SUMIFS(Data!$F:$F,Data!$C:$C,$A27,Data!$B:$B,G$4)</f>
        <v>6500</v>
      </c>
      <c r="H27" s="4">
        <f>G27</f>
        <v>6500</v>
      </c>
      <c r="I27" s="4">
        <f>H27</f>
        <v>6500</v>
      </c>
      <c r="J27" s="4">
        <f>I27</f>
        <v>6500</v>
      </c>
      <c r="K27" s="4">
        <f>J27</f>
        <v>6500</v>
      </c>
      <c r="L27" s="4">
        <f>K27</f>
        <v>6500</v>
      </c>
      <c r="M27" s="4">
        <f>L27</f>
        <v>6500</v>
      </c>
      <c r="N27" s="4">
        <f>SUM(B27:M27)</f>
        <v>78000</v>
      </c>
    </row>
    <row r="28">
      <c r="A28" t="inlineStr">
        <is>
          <t>Income Tax</t>
        </is>
      </c>
      <c r="B28" s="4">
        <f>SUMIFS(Data!$F:$F,Data!$C:$C,$A28,Data!$B:$B,B$4)</f>
        <v>10708</v>
      </c>
      <c r="C28" s="4">
        <f>SUMIFS(Data!$F:$F,Data!$C:$C,$A28,Data!$B:$B,C$4)</f>
        <v>11194</v>
      </c>
      <c r="D28" s="4">
        <f>SUMIFS(Data!$F:$F,Data!$C:$C,$A28,Data!$B:$B,D$4)</f>
        <v>8205</v>
      </c>
      <c r="E28" s="4">
        <f>SUMIFS(Data!$F:$F,Data!$C:$C,$A28,Data!$B:$B,E$4)</f>
        <v>10474</v>
      </c>
      <c r="F28" s="4">
        <f>SUMIFS(Data!$F:$F,Data!$C:$C,$A28,Data!$B:$B,F$4)</f>
        <v>10328</v>
      </c>
      <c r="G28" s="4">
        <f>SUMIFS(Data!$F:$F,Data!$C:$C,$A28,Data!$B:$B,G$4)</f>
        <v>11343</v>
      </c>
      <c r="H28" s="4" t="n">
        <v>11000</v>
      </c>
      <c r="I28" s="4" t="n">
        <v>11500</v>
      </c>
      <c r="J28" s="4" t="n">
        <v>12000</v>
      </c>
      <c r="K28" s="4" t="n">
        <v>12500</v>
      </c>
      <c r="L28" s="4" t="n">
        <v>13000</v>
      </c>
      <c r="M28" s="4" t="n">
        <v>21000</v>
      </c>
      <c r="N28" s="4">
        <f>SUM(B28:M28)</f>
        <v>143252</v>
      </c>
    </row>
    <row r="29">
      <c r="A29" s="3" t="inlineStr">
        <is>
          <t>Total Below the Line</t>
        </is>
      </c>
      <c r="B29" s="4">
        <f>SUM(B27:B28)</f>
        <v>17208</v>
      </c>
      <c r="C29" s="4">
        <f>SUM(C27:C28)</f>
        <v>17694</v>
      </c>
      <c r="D29" s="4">
        <f>SUM(D27:D28)</f>
        <v>14705</v>
      </c>
      <c r="E29" s="4">
        <f>SUM(E27:E28)</f>
        <v>16974</v>
      </c>
      <c r="F29" s="4">
        <f>SUM(F27:F28)</f>
        <v>16828</v>
      </c>
      <c r="G29" s="4">
        <f>SUM(G27:G28)</f>
        <v>17843</v>
      </c>
      <c r="H29" s="4">
        <f>SUM(H27:H28)</f>
        <v>17500</v>
      </c>
      <c r="I29" s="4">
        <f>SUM(I27:I28)</f>
        <v>18000</v>
      </c>
      <c r="J29" s="4">
        <f>SUM(J27:J28)</f>
        <v>18500</v>
      </c>
      <c r="K29" s="4">
        <f>SUM(K27:K28)</f>
        <v>19000</v>
      </c>
      <c r="L29" s="4">
        <f>SUM(L27:L28)</f>
        <v>19500</v>
      </c>
      <c r="M29" s="4">
        <f>SUM(M27:M28)</f>
        <v>27500</v>
      </c>
      <c r="N29" s="4">
        <f>SUM(N27:N28)</f>
        <v>221252</v>
      </c>
    </row>
    <row r="31">
      <c r="A31" s="3" t="inlineStr">
        <is>
          <t>Net Income</t>
        </is>
      </c>
      <c r="B31" s="4">
        <f>B24-B29</f>
        <v>-15188</v>
      </c>
      <c r="C31" s="4">
        <f>C24-C29</f>
        <v>-9124</v>
      </c>
      <c r="D31" s="4">
        <f>D24-D29</f>
        <v>-7398</v>
      </c>
      <c r="E31" s="4">
        <f>E24-E29</f>
        <v>-6109</v>
      </c>
      <c r="F31" s="4">
        <f>F24-F29</f>
        <v>-9682</v>
      </c>
      <c r="G31" s="4">
        <f>G24-G29</f>
        <v>-5837</v>
      </c>
      <c r="H31" s="4">
        <f>H24-H29</f>
        <v>4833.304999999935</v>
      </c>
      <c r="I31" s="4">
        <f>I24-I29</f>
        <v>6993.565425000095</v>
      </c>
      <c r="J31" s="4">
        <f>J24-J29</f>
        <v>29517.728607375175</v>
      </c>
      <c r="K31" s="4">
        <f>K24-K29</f>
        <v>26418.121733453358</v>
      </c>
      <c r="L31" s="4">
        <f>L24-L29</f>
        <v>43707.46360224858</v>
      </c>
      <c r="M31" s="4">
        <f>M24-M29</f>
        <v>66898.87674349465</v>
      </c>
      <c r="N31" s="4">
        <f>N24-N29</f>
        <v>125031.06111157127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Month</t>
        </is>
      </c>
      <c r="C1" s="2" t="inlineStr">
        <is>
          <t>Line Item</t>
        </is>
      </c>
      <c r="D1" s="2" t="inlineStr">
        <is>
          <t>Department</t>
        </is>
      </c>
      <c r="E1" s="2" t="inlineStr">
        <is>
          <t>Vendor</t>
        </is>
      </c>
      <c r="F1" s="2" t="inlineStr">
        <is>
          <t>Amount</t>
        </is>
      </c>
    </row>
    <row r="2">
      <c r="A2" s="6" t="n">
        <v>46025</v>
      </c>
      <c r="B2" t="inlineStr">
        <is>
          <t>Jan-26</t>
        </is>
      </c>
      <c r="C2" t="inlineStr">
        <is>
          <t>Subscription Revenue</t>
        </is>
      </c>
      <c r="D2" t="inlineStr">
        <is>
          <t>Revenue</t>
        </is>
      </c>
      <c r="E2" t="inlineStr">
        <is>
          <t>Enterprise</t>
        </is>
      </c>
      <c r="F2" t="n">
        <v>159321</v>
      </c>
    </row>
    <row r="3">
      <c r="A3" s="6" t="n">
        <v>46034</v>
      </c>
      <c r="B3" t="inlineStr">
        <is>
          <t>Jan-26</t>
        </is>
      </c>
      <c r="C3" t="inlineStr">
        <is>
          <t>Subscription Revenue</t>
        </is>
      </c>
      <c r="D3" t="inlineStr">
        <is>
          <t>Revenue</t>
        </is>
      </c>
      <c r="E3" t="inlineStr">
        <is>
          <t>Mid-Market</t>
        </is>
      </c>
      <c r="F3" t="n">
        <v>159321</v>
      </c>
    </row>
    <row r="4">
      <c r="A4" s="6" t="n">
        <v>46043</v>
      </c>
      <c r="B4" t="inlineStr">
        <is>
          <t>Jan-26</t>
        </is>
      </c>
      <c r="C4" t="inlineStr">
        <is>
          <t>Subscription Revenue</t>
        </is>
      </c>
      <c r="D4" t="inlineStr">
        <is>
          <t>Revenue</t>
        </is>
      </c>
      <c r="E4" t="inlineStr">
        <is>
          <t>SMB</t>
        </is>
      </c>
      <c r="F4" t="n">
        <v>159321</v>
      </c>
    </row>
    <row r="5">
      <c r="A5" s="6" t="n">
        <v>46056</v>
      </c>
      <c r="B5" t="inlineStr">
        <is>
          <t>Feb-26</t>
        </is>
      </c>
      <c r="C5" t="inlineStr">
        <is>
          <t>Subscription Revenue</t>
        </is>
      </c>
      <c r="D5" t="inlineStr">
        <is>
          <t>Revenue</t>
        </is>
      </c>
      <c r="E5" t="inlineStr">
        <is>
          <t>Enterprise</t>
        </is>
      </c>
      <c r="F5" t="n">
        <v>161336.67</v>
      </c>
    </row>
    <row r="6">
      <c r="A6" s="6" t="n">
        <v>46065</v>
      </c>
      <c r="B6" t="inlineStr">
        <is>
          <t>Feb-26</t>
        </is>
      </c>
      <c r="C6" t="inlineStr">
        <is>
          <t>Subscription Revenue</t>
        </is>
      </c>
      <c r="D6" t="inlineStr">
        <is>
          <t>Revenue</t>
        </is>
      </c>
      <c r="E6" t="inlineStr">
        <is>
          <t>Mid-Market</t>
        </is>
      </c>
      <c r="F6" t="n">
        <v>161336.67</v>
      </c>
    </row>
    <row r="7">
      <c r="A7" s="6" t="n">
        <v>46074</v>
      </c>
      <c r="B7" t="inlineStr">
        <is>
          <t>Feb-26</t>
        </is>
      </c>
      <c r="C7" t="inlineStr">
        <is>
          <t>Subscription Revenue</t>
        </is>
      </c>
      <c r="D7" t="inlineStr">
        <is>
          <t>Revenue</t>
        </is>
      </c>
      <c r="E7" t="inlineStr">
        <is>
          <t>SMB</t>
        </is>
      </c>
      <c r="F7" t="n">
        <v>161336.66</v>
      </c>
    </row>
    <row r="8">
      <c r="A8" s="6" t="n">
        <v>46084</v>
      </c>
      <c r="B8" t="inlineStr">
        <is>
          <t>Mar-26</t>
        </is>
      </c>
      <c r="C8" t="inlineStr">
        <is>
          <t>Subscription Revenue</t>
        </is>
      </c>
      <c r="D8" t="inlineStr">
        <is>
          <t>Revenue</t>
        </is>
      </c>
      <c r="E8" t="inlineStr">
        <is>
          <t>Enterprise</t>
        </is>
      </c>
      <c r="F8" t="n">
        <v>163238.33</v>
      </c>
    </row>
    <row r="9">
      <c r="A9" s="6" t="n">
        <v>46093</v>
      </c>
      <c r="B9" t="inlineStr">
        <is>
          <t>Mar-26</t>
        </is>
      </c>
      <c r="C9" t="inlineStr">
        <is>
          <t>Subscription Revenue</t>
        </is>
      </c>
      <c r="D9" t="inlineStr">
        <is>
          <t>Revenue</t>
        </is>
      </c>
      <c r="E9" t="inlineStr">
        <is>
          <t>Mid-Market</t>
        </is>
      </c>
      <c r="F9" t="n">
        <v>163238.33</v>
      </c>
    </row>
    <row r="10">
      <c r="A10" s="6" t="n">
        <v>46102</v>
      </c>
      <c r="B10" t="inlineStr">
        <is>
          <t>Mar-26</t>
        </is>
      </c>
      <c r="C10" t="inlineStr">
        <is>
          <t>Subscription Revenue</t>
        </is>
      </c>
      <c r="D10" t="inlineStr">
        <is>
          <t>Revenue</t>
        </is>
      </c>
      <c r="E10" t="inlineStr">
        <is>
          <t>SMB</t>
        </is>
      </c>
      <c r="F10" t="n">
        <v>163238.34</v>
      </c>
    </row>
    <row r="11">
      <c r="A11" s="6" t="n">
        <v>46115</v>
      </c>
      <c r="B11" t="inlineStr">
        <is>
          <t>Apr-26</t>
        </is>
      </c>
      <c r="C11" t="inlineStr">
        <is>
          <t>Subscription Revenue</t>
        </is>
      </c>
      <c r="D11" t="inlineStr">
        <is>
          <t>Revenue</t>
        </is>
      </c>
      <c r="E11" t="inlineStr">
        <is>
          <t>Enterprise</t>
        </is>
      </c>
      <c r="F11" t="n">
        <v>165912.33</v>
      </c>
    </row>
    <row r="12">
      <c r="A12" s="6" t="n">
        <v>46124</v>
      </c>
      <c r="B12" t="inlineStr">
        <is>
          <t>Apr-26</t>
        </is>
      </c>
      <c r="C12" t="inlineStr">
        <is>
          <t>Subscription Revenue</t>
        </is>
      </c>
      <c r="D12" t="inlineStr">
        <is>
          <t>Revenue</t>
        </is>
      </c>
      <c r="E12" t="inlineStr">
        <is>
          <t>Mid-Market</t>
        </is>
      </c>
      <c r="F12" t="n">
        <v>165912.33</v>
      </c>
    </row>
    <row r="13">
      <c r="A13" s="6" t="n">
        <v>46133</v>
      </c>
      <c r="B13" t="inlineStr">
        <is>
          <t>Apr-26</t>
        </is>
      </c>
      <c r="C13" t="inlineStr">
        <is>
          <t>Subscription Revenue</t>
        </is>
      </c>
      <c r="D13" t="inlineStr">
        <is>
          <t>Revenue</t>
        </is>
      </c>
      <c r="E13" t="inlineStr">
        <is>
          <t>SMB</t>
        </is>
      </c>
      <c r="F13" t="n">
        <v>165912.34</v>
      </c>
    </row>
    <row r="14">
      <c r="A14" s="6" t="n">
        <v>46145</v>
      </c>
      <c r="B14" t="inlineStr">
        <is>
          <t>May-26</t>
        </is>
      </c>
      <c r="C14" t="inlineStr">
        <is>
          <t>Subscription Revenue</t>
        </is>
      </c>
      <c r="D14" t="inlineStr">
        <is>
          <t>Revenue</t>
        </is>
      </c>
      <c r="E14" t="inlineStr">
        <is>
          <t>Enterprise</t>
        </is>
      </c>
      <c r="F14" t="n">
        <v>167308.33</v>
      </c>
    </row>
    <row r="15">
      <c r="A15" s="6" t="n">
        <v>46154</v>
      </c>
      <c r="B15" t="inlineStr">
        <is>
          <t>May-26</t>
        </is>
      </c>
      <c r="C15" t="inlineStr">
        <is>
          <t>Subscription Revenue</t>
        </is>
      </c>
      <c r="D15" t="inlineStr">
        <is>
          <t>Revenue</t>
        </is>
      </c>
      <c r="E15" t="inlineStr">
        <is>
          <t>Mid-Market</t>
        </is>
      </c>
      <c r="F15" t="n">
        <v>167308.33</v>
      </c>
    </row>
    <row r="16">
      <c r="A16" s="6" t="n">
        <v>46163</v>
      </c>
      <c r="B16" t="inlineStr">
        <is>
          <t>May-26</t>
        </is>
      </c>
      <c r="C16" t="inlineStr">
        <is>
          <t>Subscription Revenue</t>
        </is>
      </c>
      <c r="D16" t="inlineStr">
        <is>
          <t>Revenue</t>
        </is>
      </c>
      <c r="E16" t="inlineStr">
        <is>
          <t>SMB</t>
        </is>
      </c>
      <c r="F16" t="n">
        <v>167308.34</v>
      </c>
    </row>
    <row r="17">
      <c r="A17" s="6" t="n">
        <v>46176</v>
      </c>
      <c r="B17" t="inlineStr">
        <is>
          <t>Jun-26</t>
        </is>
      </c>
      <c r="C17" t="inlineStr">
        <is>
          <t>Subscription Revenue</t>
        </is>
      </c>
      <c r="D17" t="inlineStr">
        <is>
          <t>Revenue</t>
        </is>
      </c>
      <c r="E17" t="inlineStr">
        <is>
          <t>Enterprise</t>
        </is>
      </c>
      <c r="F17" t="n">
        <v>169608</v>
      </c>
    </row>
    <row r="18">
      <c r="A18" s="6" t="n">
        <v>46185</v>
      </c>
      <c r="B18" t="inlineStr">
        <is>
          <t>Jun-26</t>
        </is>
      </c>
      <c r="C18" t="inlineStr">
        <is>
          <t>Subscription Revenue</t>
        </is>
      </c>
      <c r="D18" t="inlineStr">
        <is>
          <t>Revenue</t>
        </is>
      </c>
      <c r="E18" t="inlineStr">
        <is>
          <t>Mid-Market</t>
        </is>
      </c>
      <c r="F18" t="n">
        <v>169608</v>
      </c>
    </row>
    <row r="19">
      <c r="A19" s="6" t="n">
        <v>46194</v>
      </c>
      <c r="B19" t="inlineStr">
        <is>
          <t>Jun-26</t>
        </is>
      </c>
      <c r="C19" t="inlineStr">
        <is>
          <t>Subscription Revenue</t>
        </is>
      </c>
      <c r="D19" t="inlineStr">
        <is>
          <t>Revenue</t>
        </is>
      </c>
      <c r="E19" t="inlineStr">
        <is>
          <t>SMB</t>
        </is>
      </c>
      <c r="F19" t="n">
        <v>169608</v>
      </c>
    </row>
    <row r="20">
      <c r="A20" s="6" t="n">
        <v>46025</v>
      </c>
      <c r="B20" t="inlineStr">
        <is>
          <t>Jan-26</t>
        </is>
      </c>
      <c r="C20" t="inlineStr">
        <is>
          <t>Professional Services</t>
        </is>
      </c>
      <c r="D20" t="inlineStr">
        <is>
          <t>Revenue</t>
        </is>
      </c>
      <c r="E20" t="inlineStr">
        <is>
          <t>Enterprise</t>
        </is>
      </c>
      <c r="F20" t="n">
        <v>20520</v>
      </c>
    </row>
    <row r="21">
      <c r="A21" s="6" t="n">
        <v>46034</v>
      </c>
      <c r="B21" t="inlineStr">
        <is>
          <t>Jan-26</t>
        </is>
      </c>
      <c r="C21" t="inlineStr">
        <is>
          <t>Professional Services</t>
        </is>
      </c>
      <c r="D21" t="inlineStr">
        <is>
          <t>Revenue</t>
        </is>
      </c>
      <c r="E21" t="inlineStr">
        <is>
          <t>Mid-Market</t>
        </is>
      </c>
      <c r="F21" t="n">
        <v>20520</v>
      </c>
    </row>
    <row r="22">
      <c r="A22" s="6" t="n">
        <v>46043</v>
      </c>
      <c r="B22" t="inlineStr">
        <is>
          <t>Jan-26</t>
        </is>
      </c>
      <c r="C22" t="inlineStr">
        <is>
          <t>Professional Services</t>
        </is>
      </c>
      <c r="D22" t="inlineStr">
        <is>
          <t>Revenue</t>
        </is>
      </c>
      <c r="E22" t="inlineStr">
        <is>
          <t>SMB</t>
        </is>
      </c>
      <c r="F22" t="n">
        <v>20520</v>
      </c>
    </row>
    <row r="23">
      <c r="A23" s="6" t="n">
        <v>46056</v>
      </c>
      <c r="B23" t="inlineStr">
        <is>
          <t>Feb-26</t>
        </is>
      </c>
      <c r="C23" t="inlineStr">
        <is>
          <t>Professional Services</t>
        </is>
      </c>
      <c r="D23" t="inlineStr">
        <is>
          <t>Revenue</t>
        </is>
      </c>
      <c r="E23" t="inlineStr">
        <is>
          <t>Enterprise</t>
        </is>
      </c>
      <c r="F23" t="n">
        <v>21735.67</v>
      </c>
    </row>
    <row r="24">
      <c r="A24" s="6" t="n">
        <v>46065</v>
      </c>
      <c r="B24" t="inlineStr">
        <is>
          <t>Feb-26</t>
        </is>
      </c>
      <c r="C24" t="inlineStr">
        <is>
          <t>Professional Services</t>
        </is>
      </c>
      <c r="D24" t="inlineStr">
        <is>
          <t>Revenue</t>
        </is>
      </c>
      <c r="E24" t="inlineStr">
        <is>
          <t>Mid-Market</t>
        </is>
      </c>
      <c r="F24" t="n">
        <v>21735.67</v>
      </c>
    </row>
    <row r="25">
      <c r="A25" s="6" t="n">
        <v>46074</v>
      </c>
      <c r="B25" t="inlineStr">
        <is>
          <t>Feb-26</t>
        </is>
      </c>
      <c r="C25" t="inlineStr">
        <is>
          <t>Professional Services</t>
        </is>
      </c>
      <c r="D25" t="inlineStr">
        <is>
          <t>Revenue</t>
        </is>
      </c>
      <c r="E25" t="inlineStr">
        <is>
          <t>SMB</t>
        </is>
      </c>
      <c r="F25" t="n">
        <v>21735.66</v>
      </c>
    </row>
    <row r="26">
      <c r="A26" s="6" t="n">
        <v>46084</v>
      </c>
      <c r="B26" t="inlineStr">
        <is>
          <t>Mar-26</t>
        </is>
      </c>
      <c r="C26" t="inlineStr">
        <is>
          <t>Professional Services</t>
        </is>
      </c>
      <c r="D26" t="inlineStr">
        <is>
          <t>Revenue</t>
        </is>
      </c>
      <c r="E26" t="inlineStr">
        <is>
          <t>Enterprise</t>
        </is>
      </c>
      <c r="F26" t="n">
        <v>20908.67</v>
      </c>
    </row>
    <row r="27">
      <c r="A27" s="6" t="n">
        <v>46093</v>
      </c>
      <c r="B27" t="inlineStr">
        <is>
          <t>Mar-26</t>
        </is>
      </c>
      <c r="C27" t="inlineStr">
        <is>
          <t>Professional Services</t>
        </is>
      </c>
      <c r="D27" t="inlineStr">
        <is>
          <t>Revenue</t>
        </is>
      </c>
      <c r="E27" t="inlineStr">
        <is>
          <t>Mid-Market</t>
        </is>
      </c>
      <c r="F27" t="n">
        <v>20908.67</v>
      </c>
    </row>
    <row r="28">
      <c r="A28" s="6" t="n">
        <v>46102</v>
      </c>
      <c r="B28" t="inlineStr">
        <is>
          <t>Mar-26</t>
        </is>
      </c>
      <c r="C28" t="inlineStr">
        <is>
          <t>Professional Services</t>
        </is>
      </c>
      <c r="D28" t="inlineStr">
        <is>
          <t>Revenue</t>
        </is>
      </c>
      <c r="E28" t="inlineStr">
        <is>
          <t>SMB</t>
        </is>
      </c>
      <c r="F28" t="n">
        <v>20908.66</v>
      </c>
    </row>
    <row r="29">
      <c r="A29" s="6" t="n">
        <v>46115</v>
      </c>
      <c r="B29" t="inlineStr">
        <is>
          <t>Apr-26</t>
        </is>
      </c>
      <c r="C29" t="inlineStr">
        <is>
          <t>Professional Services</t>
        </is>
      </c>
      <c r="D29" t="inlineStr">
        <is>
          <t>Revenue</t>
        </is>
      </c>
      <c r="E29" t="inlineStr">
        <is>
          <t>Enterprise</t>
        </is>
      </c>
      <c r="F29" t="n">
        <v>22234</v>
      </c>
    </row>
    <row r="30">
      <c r="A30" s="6" t="n">
        <v>46124</v>
      </c>
      <c r="B30" t="inlineStr">
        <is>
          <t>Apr-26</t>
        </is>
      </c>
      <c r="C30" t="inlineStr">
        <is>
          <t>Professional Services</t>
        </is>
      </c>
      <c r="D30" t="inlineStr">
        <is>
          <t>Revenue</t>
        </is>
      </c>
      <c r="E30" t="inlineStr">
        <is>
          <t>Mid-Market</t>
        </is>
      </c>
      <c r="F30" t="n">
        <v>22234</v>
      </c>
    </row>
    <row r="31">
      <c r="A31" s="6" t="n">
        <v>46133</v>
      </c>
      <c r="B31" t="inlineStr">
        <is>
          <t>Apr-26</t>
        </is>
      </c>
      <c r="C31" t="inlineStr">
        <is>
          <t>Professional Services</t>
        </is>
      </c>
      <c r="D31" t="inlineStr">
        <is>
          <t>Revenue</t>
        </is>
      </c>
      <c r="E31" t="inlineStr">
        <is>
          <t>SMB</t>
        </is>
      </c>
      <c r="F31" t="n">
        <v>22234</v>
      </c>
    </row>
    <row r="32">
      <c r="A32" s="6" t="n">
        <v>46145</v>
      </c>
      <c r="B32" t="inlineStr">
        <is>
          <t>May-26</t>
        </is>
      </c>
      <c r="C32" t="inlineStr">
        <is>
          <t>Professional Services</t>
        </is>
      </c>
      <c r="D32" t="inlineStr">
        <is>
          <t>Revenue</t>
        </is>
      </c>
      <c r="E32" t="inlineStr">
        <is>
          <t>Enterprise</t>
        </is>
      </c>
      <c r="F32" t="n">
        <v>20922.67</v>
      </c>
    </row>
    <row r="33">
      <c r="A33" s="6" t="n">
        <v>46154</v>
      </c>
      <c r="B33" t="inlineStr">
        <is>
          <t>May-26</t>
        </is>
      </c>
      <c r="C33" t="inlineStr">
        <is>
          <t>Professional Services</t>
        </is>
      </c>
      <c r="D33" t="inlineStr">
        <is>
          <t>Revenue</t>
        </is>
      </c>
      <c r="E33" t="inlineStr">
        <is>
          <t>Mid-Market</t>
        </is>
      </c>
      <c r="F33" t="n">
        <v>20922.67</v>
      </c>
    </row>
    <row r="34">
      <c r="A34" s="6" t="n">
        <v>46163</v>
      </c>
      <c r="B34" t="inlineStr">
        <is>
          <t>May-26</t>
        </is>
      </c>
      <c r="C34" t="inlineStr">
        <is>
          <t>Professional Services</t>
        </is>
      </c>
      <c r="D34" t="inlineStr">
        <is>
          <t>Revenue</t>
        </is>
      </c>
      <c r="E34" t="inlineStr">
        <is>
          <t>SMB</t>
        </is>
      </c>
      <c r="F34" t="n">
        <v>20922.66</v>
      </c>
    </row>
    <row r="35">
      <c r="A35" s="6" t="n">
        <v>46176</v>
      </c>
      <c r="B35" t="inlineStr">
        <is>
          <t>Jun-26</t>
        </is>
      </c>
      <c r="C35" t="inlineStr">
        <is>
          <t>Professional Services</t>
        </is>
      </c>
      <c r="D35" t="inlineStr">
        <is>
          <t>Revenue</t>
        </is>
      </c>
      <c r="E35" t="inlineStr">
        <is>
          <t>Enterprise</t>
        </is>
      </c>
      <c r="F35" t="n">
        <v>22660.33</v>
      </c>
    </row>
    <row r="36">
      <c r="A36" s="6" t="n">
        <v>46185</v>
      </c>
      <c r="B36" t="inlineStr">
        <is>
          <t>Jun-26</t>
        </is>
      </c>
      <c r="C36" t="inlineStr">
        <is>
          <t>Professional Services</t>
        </is>
      </c>
      <c r="D36" t="inlineStr">
        <is>
          <t>Revenue</t>
        </is>
      </c>
      <c r="E36" t="inlineStr">
        <is>
          <t>Mid-Market</t>
        </is>
      </c>
      <c r="F36" t="n">
        <v>22660.33</v>
      </c>
    </row>
    <row r="37">
      <c r="A37" s="6" t="n">
        <v>46194</v>
      </c>
      <c r="B37" t="inlineStr">
        <is>
          <t>Jun-26</t>
        </is>
      </c>
      <c r="C37" t="inlineStr">
        <is>
          <t>Professional Services</t>
        </is>
      </c>
      <c r="D37" t="inlineStr">
        <is>
          <t>Revenue</t>
        </is>
      </c>
      <c r="E37" t="inlineStr">
        <is>
          <t>SMB</t>
        </is>
      </c>
      <c r="F37" t="n">
        <v>22660.34</v>
      </c>
    </row>
    <row r="38">
      <c r="A38" s="6" t="n">
        <v>46025</v>
      </c>
      <c r="B38" t="inlineStr">
        <is>
          <t>Jan-26</t>
        </is>
      </c>
      <c r="C38" t="inlineStr">
        <is>
          <t>Hosting &amp; Infrastructure</t>
        </is>
      </c>
      <c r="D38" t="inlineStr">
        <is>
          <t>Cost of Revenue</t>
        </is>
      </c>
      <c r="E38" t="inlineStr">
        <is>
          <t>AWS</t>
        </is>
      </c>
      <c r="F38" t="n">
        <v>19932.33</v>
      </c>
    </row>
    <row r="39">
      <c r="A39" s="6" t="n">
        <v>46034</v>
      </c>
      <c r="B39" t="inlineStr">
        <is>
          <t>Jan-26</t>
        </is>
      </c>
      <c r="C39" t="inlineStr">
        <is>
          <t>Hosting &amp; Infrastructure</t>
        </is>
      </c>
      <c r="D39" t="inlineStr">
        <is>
          <t>Cost of Revenue</t>
        </is>
      </c>
      <c r="E39" t="inlineStr">
        <is>
          <t>Datadog</t>
        </is>
      </c>
      <c r="F39" t="n">
        <v>19932.33</v>
      </c>
    </row>
    <row r="40">
      <c r="A40" s="6" t="n">
        <v>46043</v>
      </c>
      <c r="B40" t="inlineStr">
        <is>
          <t>Jan-26</t>
        </is>
      </c>
      <c r="C40" t="inlineStr">
        <is>
          <t>Hosting &amp; Infrastructure</t>
        </is>
      </c>
      <c r="D40" t="inlineStr">
        <is>
          <t>Cost of Revenue</t>
        </is>
      </c>
      <c r="E40" t="inlineStr">
        <is>
          <t>Zendesk</t>
        </is>
      </c>
      <c r="F40" t="n">
        <v>19932.34</v>
      </c>
    </row>
    <row r="41">
      <c r="A41" s="6" t="n">
        <v>46056</v>
      </c>
      <c r="B41" t="inlineStr">
        <is>
          <t>Feb-26</t>
        </is>
      </c>
      <c r="C41" t="inlineStr">
        <is>
          <t>Hosting &amp; Infrastructure</t>
        </is>
      </c>
      <c r="D41" t="inlineStr">
        <is>
          <t>Cost of Revenue</t>
        </is>
      </c>
      <c r="E41" t="inlineStr">
        <is>
          <t>AWS</t>
        </is>
      </c>
      <c r="F41" t="n">
        <v>20920</v>
      </c>
    </row>
    <row r="42">
      <c r="A42" s="6" t="n">
        <v>46065</v>
      </c>
      <c r="B42" t="inlineStr">
        <is>
          <t>Feb-26</t>
        </is>
      </c>
      <c r="C42" t="inlineStr">
        <is>
          <t>Hosting &amp; Infrastructure</t>
        </is>
      </c>
      <c r="D42" t="inlineStr">
        <is>
          <t>Cost of Revenue</t>
        </is>
      </c>
      <c r="E42" t="inlineStr">
        <is>
          <t>Datadog</t>
        </is>
      </c>
      <c r="F42" t="n">
        <v>20920</v>
      </c>
    </row>
    <row r="43">
      <c r="A43" s="6" t="n">
        <v>46074</v>
      </c>
      <c r="B43" t="inlineStr">
        <is>
          <t>Feb-26</t>
        </is>
      </c>
      <c r="C43" t="inlineStr">
        <is>
          <t>Hosting &amp; Infrastructure</t>
        </is>
      </c>
      <c r="D43" t="inlineStr">
        <is>
          <t>Cost of Revenue</t>
        </is>
      </c>
      <c r="E43" t="inlineStr">
        <is>
          <t>Zendesk</t>
        </is>
      </c>
      <c r="F43" t="n">
        <v>20920</v>
      </c>
    </row>
    <row r="44">
      <c r="A44" s="6" t="n">
        <v>46084</v>
      </c>
      <c r="B44" t="inlineStr">
        <is>
          <t>Mar-26</t>
        </is>
      </c>
      <c r="C44" t="inlineStr">
        <is>
          <t>Hosting &amp; Infrastructure</t>
        </is>
      </c>
      <c r="D44" t="inlineStr">
        <is>
          <t>Cost of Revenue</t>
        </is>
      </c>
      <c r="E44" t="inlineStr">
        <is>
          <t>AWS</t>
        </is>
      </c>
      <c r="F44" t="n">
        <v>21062.33</v>
      </c>
    </row>
    <row r="45">
      <c r="A45" s="6" t="n">
        <v>46093</v>
      </c>
      <c r="B45" t="inlineStr">
        <is>
          <t>Mar-26</t>
        </is>
      </c>
      <c r="C45" t="inlineStr">
        <is>
          <t>Hosting &amp; Infrastructure</t>
        </is>
      </c>
      <c r="D45" t="inlineStr">
        <is>
          <t>Cost of Revenue</t>
        </is>
      </c>
      <c r="E45" t="inlineStr">
        <is>
          <t>Datadog</t>
        </is>
      </c>
      <c r="F45" t="n">
        <v>21062.33</v>
      </c>
    </row>
    <row r="46">
      <c r="A46" s="6" t="n">
        <v>46102</v>
      </c>
      <c r="B46" t="inlineStr">
        <is>
          <t>Mar-26</t>
        </is>
      </c>
      <c r="C46" t="inlineStr">
        <is>
          <t>Hosting &amp; Infrastructure</t>
        </is>
      </c>
      <c r="D46" t="inlineStr">
        <is>
          <t>Cost of Revenue</t>
        </is>
      </c>
      <c r="E46" t="inlineStr">
        <is>
          <t>Zendesk</t>
        </is>
      </c>
      <c r="F46" t="n">
        <v>21062.34</v>
      </c>
    </row>
    <row r="47">
      <c r="A47" s="6" t="n">
        <v>46115</v>
      </c>
      <c r="B47" t="inlineStr">
        <is>
          <t>Apr-26</t>
        </is>
      </c>
      <c r="C47" t="inlineStr">
        <is>
          <t>Hosting &amp; Infrastructure</t>
        </is>
      </c>
      <c r="D47" t="inlineStr">
        <is>
          <t>Cost of Revenue</t>
        </is>
      </c>
      <c r="E47" t="inlineStr">
        <is>
          <t>AWS</t>
        </is>
      </c>
      <c r="F47" t="n">
        <v>21622</v>
      </c>
    </row>
    <row r="48">
      <c r="A48" s="6" t="n">
        <v>46124</v>
      </c>
      <c r="B48" t="inlineStr">
        <is>
          <t>Apr-26</t>
        </is>
      </c>
      <c r="C48" t="inlineStr">
        <is>
          <t>Hosting &amp; Infrastructure</t>
        </is>
      </c>
      <c r="D48" t="inlineStr">
        <is>
          <t>Cost of Revenue</t>
        </is>
      </c>
      <c r="E48" t="inlineStr">
        <is>
          <t>Datadog</t>
        </is>
      </c>
      <c r="F48" t="n">
        <v>21622</v>
      </c>
    </row>
    <row r="49">
      <c r="A49" s="6" t="n">
        <v>46133</v>
      </c>
      <c r="B49" t="inlineStr">
        <is>
          <t>Apr-26</t>
        </is>
      </c>
      <c r="C49" t="inlineStr">
        <is>
          <t>Hosting &amp; Infrastructure</t>
        </is>
      </c>
      <c r="D49" t="inlineStr">
        <is>
          <t>Cost of Revenue</t>
        </is>
      </c>
      <c r="E49" t="inlineStr">
        <is>
          <t>Zendesk</t>
        </is>
      </c>
      <c r="F49" t="n">
        <v>21622</v>
      </c>
    </row>
    <row r="50">
      <c r="A50" s="6" t="n">
        <v>46145</v>
      </c>
      <c r="B50" t="inlineStr">
        <is>
          <t>May-26</t>
        </is>
      </c>
      <c r="C50" t="inlineStr">
        <is>
          <t>Hosting &amp; Infrastructure</t>
        </is>
      </c>
      <c r="D50" t="inlineStr">
        <is>
          <t>Cost of Revenue</t>
        </is>
      </c>
      <c r="E50" t="inlineStr">
        <is>
          <t>AWS</t>
        </is>
      </c>
      <c r="F50" t="n">
        <v>21491.67</v>
      </c>
    </row>
    <row r="51">
      <c r="A51" s="6" t="n">
        <v>46154</v>
      </c>
      <c r="B51" t="inlineStr">
        <is>
          <t>May-26</t>
        </is>
      </c>
      <c r="C51" t="inlineStr">
        <is>
          <t>Hosting &amp; Infrastructure</t>
        </is>
      </c>
      <c r="D51" t="inlineStr">
        <is>
          <t>Cost of Revenue</t>
        </is>
      </c>
      <c r="E51" t="inlineStr">
        <is>
          <t>Datadog</t>
        </is>
      </c>
      <c r="F51" t="n">
        <v>21491.67</v>
      </c>
    </row>
    <row r="52">
      <c r="A52" s="6" t="n">
        <v>46163</v>
      </c>
      <c r="B52" t="inlineStr">
        <is>
          <t>May-26</t>
        </is>
      </c>
      <c r="C52" t="inlineStr">
        <is>
          <t>Hosting &amp; Infrastructure</t>
        </is>
      </c>
      <c r="D52" t="inlineStr">
        <is>
          <t>Cost of Revenue</t>
        </is>
      </c>
      <c r="E52" t="inlineStr">
        <is>
          <t>Zendesk</t>
        </is>
      </c>
      <c r="F52" t="n">
        <v>21491.66</v>
      </c>
    </row>
    <row r="53">
      <c r="A53" s="6" t="n">
        <v>46176</v>
      </c>
      <c r="B53" t="inlineStr">
        <is>
          <t>Jun-26</t>
        </is>
      </c>
      <c r="C53" t="inlineStr">
        <is>
          <t>Hosting &amp; Infrastructure</t>
        </is>
      </c>
      <c r="D53" t="inlineStr">
        <is>
          <t>Cost of Revenue</t>
        </is>
      </c>
      <c r="E53" t="inlineStr">
        <is>
          <t>AWS</t>
        </is>
      </c>
      <c r="F53" t="n">
        <v>22205.67</v>
      </c>
    </row>
    <row r="54">
      <c r="A54" s="6" t="n">
        <v>46185</v>
      </c>
      <c r="B54" t="inlineStr">
        <is>
          <t>Jun-26</t>
        </is>
      </c>
      <c r="C54" t="inlineStr">
        <is>
          <t>Hosting &amp; Infrastructure</t>
        </is>
      </c>
      <c r="D54" t="inlineStr">
        <is>
          <t>Cost of Revenue</t>
        </is>
      </c>
      <c r="E54" t="inlineStr">
        <is>
          <t>Datadog</t>
        </is>
      </c>
      <c r="F54" t="n">
        <v>22205.67</v>
      </c>
    </row>
    <row r="55">
      <c r="A55" s="6" t="n">
        <v>46194</v>
      </c>
      <c r="B55" t="inlineStr">
        <is>
          <t>Jun-26</t>
        </is>
      </c>
      <c r="C55" t="inlineStr">
        <is>
          <t>Hosting &amp; Infrastructure</t>
        </is>
      </c>
      <c r="D55" t="inlineStr">
        <is>
          <t>Cost of Revenue</t>
        </is>
      </c>
      <c r="E55" t="inlineStr">
        <is>
          <t>Zendesk</t>
        </is>
      </c>
      <c r="F55" t="n">
        <v>22205.66</v>
      </c>
    </row>
    <row r="56">
      <c r="A56" s="6" t="n">
        <v>46025</v>
      </c>
      <c r="B56" t="inlineStr">
        <is>
          <t>Jan-26</t>
        </is>
      </c>
      <c r="C56" t="inlineStr">
        <is>
          <t>Customer Support</t>
        </is>
      </c>
      <c r="D56" t="inlineStr">
        <is>
          <t>Cost of Revenue</t>
        </is>
      </c>
      <c r="E56" t="inlineStr">
        <is>
          <t>AWS</t>
        </is>
      </c>
      <c r="F56" t="n">
        <v>22072</v>
      </c>
    </row>
    <row r="57">
      <c r="A57" s="6" t="n">
        <v>46034</v>
      </c>
      <c r="B57" t="inlineStr">
        <is>
          <t>Jan-26</t>
        </is>
      </c>
      <c r="C57" t="inlineStr">
        <is>
          <t>Customer Support</t>
        </is>
      </c>
      <c r="D57" t="inlineStr">
        <is>
          <t>Cost of Revenue</t>
        </is>
      </c>
      <c r="E57" t="inlineStr">
        <is>
          <t>Datadog</t>
        </is>
      </c>
      <c r="F57" t="n">
        <v>22072</v>
      </c>
    </row>
    <row r="58">
      <c r="A58" s="6" t="n">
        <v>46056</v>
      </c>
      <c r="B58" t="inlineStr">
        <is>
          <t>Feb-26</t>
        </is>
      </c>
      <c r="C58" t="inlineStr">
        <is>
          <t>Customer Support</t>
        </is>
      </c>
      <c r="D58" t="inlineStr">
        <is>
          <t>Cost of Revenue</t>
        </is>
      </c>
      <c r="E58" t="inlineStr">
        <is>
          <t>AWS</t>
        </is>
      </c>
      <c r="F58" t="n">
        <v>22564</v>
      </c>
    </row>
    <row r="59">
      <c r="A59" s="6" t="n">
        <v>46065</v>
      </c>
      <c r="B59" t="inlineStr">
        <is>
          <t>Feb-26</t>
        </is>
      </c>
      <c r="C59" t="inlineStr">
        <is>
          <t>Customer Support</t>
        </is>
      </c>
      <c r="D59" t="inlineStr">
        <is>
          <t>Cost of Revenue</t>
        </is>
      </c>
      <c r="E59" t="inlineStr">
        <is>
          <t>Datadog</t>
        </is>
      </c>
      <c r="F59" t="n">
        <v>22564</v>
      </c>
    </row>
    <row r="60">
      <c r="A60" s="6" t="n">
        <v>46084</v>
      </c>
      <c r="B60" t="inlineStr">
        <is>
          <t>Mar-26</t>
        </is>
      </c>
      <c r="C60" t="inlineStr">
        <is>
          <t>Customer Support</t>
        </is>
      </c>
      <c r="D60" t="inlineStr">
        <is>
          <t>Cost of Revenue</t>
        </is>
      </c>
      <c r="E60" t="inlineStr">
        <is>
          <t>AWS</t>
        </is>
      </c>
      <c r="F60" t="n">
        <v>21864.5</v>
      </c>
    </row>
    <row r="61">
      <c r="A61" s="6" t="n">
        <v>46093</v>
      </c>
      <c r="B61" t="inlineStr">
        <is>
          <t>Mar-26</t>
        </is>
      </c>
      <c r="C61" t="inlineStr">
        <is>
          <t>Customer Support</t>
        </is>
      </c>
      <c r="D61" t="inlineStr">
        <is>
          <t>Cost of Revenue</t>
        </is>
      </c>
      <c r="E61" t="inlineStr">
        <is>
          <t>Datadog</t>
        </is>
      </c>
      <c r="F61" t="n">
        <v>21864.5</v>
      </c>
    </row>
    <row r="62">
      <c r="A62" s="6" t="n">
        <v>46115</v>
      </c>
      <c r="B62" t="inlineStr">
        <is>
          <t>Apr-26</t>
        </is>
      </c>
      <c r="C62" t="inlineStr">
        <is>
          <t>Customer Support</t>
        </is>
      </c>
      <c r="D62" t="inlineStr">
        <is>
          <t>Cost of Revenue</t>
        </is>
      </c>
      <c r="E62" t="inlineStr">
        <is>
          <t>AWS</t>
        </is>
      </c>
      <c r="F62" t="n">
        <v>21171</v>
      </c>
    </row>
    <row r="63">
      <c r="A63" s="6" t="n">
        <v>46124</v>
      </c>
      <c r="B63" t="inlineStr">
        <is>
          <t>Apr-26</t>
        </is>
      </c>
      <c r="C63" t="inlineStr">
        <is>
          <t>Customer Support</t>
        </is>
      </c>
      <c r="D63" t="inlineStr">
        <is>
          <t>Cost of Revenue</t>
        </is>
      </c>
      <c r="E63" t="inlineStr">
        <is>
          <t>Datadog</t>
        </is>
      </c>
      <c r="F63" t="n">
        <v>21171</v>
      </c>
    </row>
    <row r="64">
      <c r="A64" s="6" t="n">
        <v>46145</v>
      </c>
      <c r="B64" t="inlineStr">
        <is>
          <t>May-26</t>
        </is>
      </c>
      <c r="C64" t="inlineStr">
        <is>
          <t>Customer Support</t>
        </is>
      </c>
      <c r="D64" t="inlineStr">
        <is>
          <t>Cost of Revenue</t>
        </is>
      </c>
      <c r="E64" t="inlineStr">
        <is>
          <t>AWS</t>
        </is>
      </c>
      <c r="F64" t="n">
        <v>21394</v>
      </c>
    </row>
    <row r="65">
      <c r="A65" s="6" t="n">
        <v>46154</v>
      </c>
      <c r="B65" t="inlineStr">
        <is>
          <t>May-26</t>
        </is>
      </c>
      <c r="C65" t="inlineStr">
        <is>
          <t>Customer Support</t>
        </is>
      </c>
      <c r="D65" t="inlineStr">
        <is>
          <t>Cost of Revenue</t>
        </is>
      </c>
      <c r="E65" t="inlineStr">
        <is>
          <t>Datadog</t>
        </is>
      </c>
      <c r="F65" t="n">
        <v>21394</v>
      </c>
    </row>
    <row r="66">
      <c r="A66" s="6" t="n">
        <v>46176</v>
      </c>
      <c r="B66" t="inlineStr">
        <is>
          <t>Jun-26</t>
        </is>
      </c>
      <c r="C66" t="inlineStr">
        <is>
          <t>Customer Support</t>
        </is>
      </c>
      <c r="D66" t="inlineStr">
        <is>
          <t>Cost of Revenue</t>
        </is>
      </c>
      <c r="E66" t="inlineStr">
        <is>
          <t>AWS</t>
        </is>
      </c>
      <c r="F66" t="n">
        <v>23031</v>
      </c>
    </row>
    <row r="67">
      <c r="A67" s="6" t="n">
        <v>46185</v>
      </c>
      <c r="B67" t="inlineStr">
        <is>
          <t>Jun-26</t>
        </is>
      </c>
      <c r="C67" t="inlineStr">
        <is>
          <t>Customer Support</t>
        </is>
      </c>
      <c r="D67" t="inlineStr">
        <is>
          <t>Cost of Revenue</t>
        </is>
      </c>
      <c r="E67" t="inlineStr">
        <is>
          <t>Datadog</t>
        </is>
      </c>
      <c r="F67" t="n">
        <v>23031</v>
      </c>
    </row>
    <row r="68">
      <c r="A68" s="6" t="n">
        <v>46025</v>
      </c>
      <c r="B68" t="inlineStr">
        <is>
          <t>Jan-26</t>
        </is>
      </c>
      <c r="C68" t="inlineStr">
        <is>
          <t>Sales &amp; Marketing</t>
        </is>
      </c>
      <c r="D68" t="inlineStr">
        <is>
          <t>Operating Expenses</t>
        </is>
      </c>
      <c r="E68" t="inlineStr">
        <is>
          <t>Payroll</t>
        </is>
      </c>
      <c r="F68" t="n">
        <v>53102.67</v>
      </c>
    </row>
    <row r="69">
      <c r="A69" s="6" t="n">
        <v>46034</v>
      </c>
      <c r="B69" t="inlineStr">
        <is>
          <t>Jan-26</t>
        </is>
      </c>
      <c r="C69" t="inlineStr">
        <is>
          <t>Sales &amp; Marketing</t>
        </is>
      </c>
      <c r="D69" t="inlineStr">
        <is>
          <t>Operating Expenses</t>
        </is>
      </c>
      <c r="E69" t="inlineStr">
        <is>
          <t>Google Ads</t>
        </is>
      </c>
      <c r="F69" t="n">
        <v>53102.67</v>
      </c>
    </row>
    <row r="70">
      <c r="A70" s="6" t="n">
        <v>46043</v>
      </c>
      <c r="B70" t="inlineStr">
        <is>
          <t>Jan-26</t>
        </is>
      </c>
      <c r="C70" t="inlineStr">
        <is>
          <t>Sales &amp; Marketing</t>
        </is>
      </c>
      <c r="D70" t="inlineStr">
        <is>
          <t>Operating Expenses</t>
        </is>
      </c>
      <c r="E70" t="inlineStr">
        <is>
          <t>Contractors</t>
        </is>
      </c>
      <c r="F70" t="n">
        <v>53102.66</v>
      </c>
    </row>
    <row r="71">
      <c r="A71" s="6" t="n">
        <v>46056</v>
      </c>
      <c r="B71" t="inlineStr">
        <is>
          <t>Feb-26</t>
        </is>
      </c>
      <c r="C71" t="inlineStr">
        <is>
          <t>Sales &amp; Marketing</t>
        </is>
      </c>
      <c r="D71" t="inlineStr">
        <is>
          <t>Operating Expenses</t>
        </is>
      </c>
      <c r="E71" t="inlineStr">
        <is>
          <t>Payroll</t>
        </is>
      </c>
      <c r="F71" t="n">
        <v>53334.67</v>
      </c>
    </row>
    <row r="72">
      <c r="A72" s="6" t="n">
        <v>46065</v>
      </c>
      <c r="B72" t="inlineStr">
        <is>
          <t>Feb-26</t>
        </is>
      </c>
      <c r="C72" t="inlineStr">
        <is>
          <t>Sales &amp; Marketing</t>
        </is>
      </c>
      <c r="D72" t="inlineStr">
        <is>
          <t>Operating Expenses</t>
        </is>
      </c>
      <c r="E72" t="inlineStr">
        <is>
          <t>Google Ads</t>
        </is>
      </c>
      <c r="F72" t="n">
        <v>53334.67</v>
      </c>
    </row>
    <row r="73">
      <c r="A73" s="6" t="n">
        <v>46074</v>
      </c>
      <c r="B73" t="inlineStr">
        <is>
          <t>Feb-26</t>
        </is>
      </c>
      <c r="C73" t="inlineStr">
        <is>
          <t>Sales &amp; Marketing</t>
        </is>
      </c>
      <c r="D73" t="inlineStr">
        <is>
          <t>Operating Expenses</t>
        </is>
      </c>
      <c r="E73" t="inlineStr">
        <is>
          <t>Contractors</t>
        </is>
      </c>
      <c r="F73" t="n">
        <v>53334.66</v>
      </c>
    </row>
    <row r="74">
      <c r="A74" s="6" t="n">
        <v>46084</v>
      </c>
      <c r="B74" t="inlineStr">
        <is>
          <t>Mar-26</t>
        </is>
      </c>
      <c r="C74" t="inlineStr">
        <is>
          <t>Sales &amp; Marketing</t>
        </is>
      </c>
      <c r="D74" t="inlineStr">
        <is>
          <t>Operating Expenses</t>
        </is>
      </c>
      <c r="E74" t="inlineStr">
        <is>
          <t>Payroll</t>
        </is>
      </c>
      <c r="F74" t="n">
        <v>54135</v>
      </c>
    </row>
    <row r="75">
      <c r="A75" s="6" t="n">
        <v>46093</v>
      </c>
      <c r="B75" t="inlineStr">
        <is>
          <t>Mar-26</t>
        </is>
      </c>
      <c r="C75" t="inlineStr">
        <is>
          <t>Sales &amp; Marketing</t>
        </is>
      </c>
      <c r="D75" t="inlineStr">
        <is>
          <t>Operating Expenses</t>
        </is>
      </c>
      <c r="E75" t="inlineStr">
        <is>
          <t>Google Ads</t>
        </is>
      </c>
      <c r="F75" t="n">
        <v>54135</v>
      </c>
    </row>
    <row r="76">
      <c r="A76" s="6" t="n">
        <v>46102</v>
      </c>
      <c r="B76" t="inlineStr">
        <is>
          <t>Mar-26</t>
        </is>
      </c>
      <c r="C76" t="inlineStr">
        <is>
          <t>Sales &amp; Marketing</t>
        </is>
      </c>
      <c r="D76" t="inlineStr">
        <is>
          <t>Operating Expenses</t>
        </is>
      </c>
      <c r="E76" t="inlineStr">
        <is>
          <t>Contractors</t>
        </is>
      </c>
      <c r="F76" t="n">
        <v>54135</v>
      </c>
    </row>
    <row r="77">
      <c r="A77" s="6" t="n">
        <v>46115</v>
      </c>
      <c r="B77" t="inlineStr">
        <is>
          <t>Apr-26</t>
        </is>
      </c>
      <c r="C77" t="inlineStr">
        <is>
          <t>Sales &amp; Marketing</t>
        </is>
      </c>
      <c r="D77" t="inlineStr">
        <is>
          <t>Operating Expenses</t>
        </is>
      </c>
      <c r="E77" t="inlineStr">
        <is>
          <t>Payroll</t>
        </is>
      </c>
      <c r="F77" t="n">
        <v>54886</v>
      </c>
    </row>
    <row r="78">
      <c r="A78" s="6" t="n">
        <v>46124</v>
      </c>
      <c r="B78" t="inlineStr">
        <is>
          <t>Apr-26</t>
        </is>
      </c>
      <c r="C78" t="inlineStr">
        <is>
          <t>Sales &amp; Marketing</t>
        </is>
      </c>
      <c r="D78" t="inlineStr">
        <is>
          <t>Operating Expenses</t>
        </is>
      </c>
      <c r="E78" t="inlineStr">
        <is>
          <t>Google Ads</t>
        </is>
      </c>
      <c r="F78" t="n">
        <v>54886</v>
      </c>
    </row>
    <row r="79">
      <c r="A79" s="6" t="n">
        <v>46133</v>
      </c>
      <c r="B79" t="inlineStr">
        <is>
          <t>Apr-26</t>
        </is>
      </c>
      <c r="C79" t="inlineStr">
        <is>
          <t>Sales &amp; Marketing</t>
        </is>
      </c>
      <c r="D79" t="inlineStr">
        <is>
          <t>Operating Expenses</t>
        </is>
      </c>
      <c r="E79" t="inlineStr">
        <is>
          <t>Contractors</t>
        </is>
      </c>
      <c r="F79" t="n">
        <v>54886</v>
      </c>
    </row>
    <row r="80">
      <c r="A80" s="6" t="n">
        <v>46145</v>
      </c>
      <c r="B80" t="inlineStr">
        <is>
          <t>May-26</t>
        </is>
      </c>
      <c r="C80" t="inlineStr">
        <is>
          <t>Sales &amp; Marketing</t>
        </is>
      </c>
      <c r="D80" t="inlineStr">
        <is>
          <t>Operating Expenses</t>
        </is>
      </c>
      <c r="E80" t="inlineStr">
        <is>
          <t>Payroll</t>
        </is>
      </c>
      <c r="F80" t="n">
        <v>55796.67</v>
      </c>
    </row>
    <row r="81">
      <c r="A81" s="6" t="n">
        <v>46154</v>
      </c>
      <c r="B81" t="inlineStr">
        <is>
          <t>May-26</t>
        </is>
      </c>
      <c r="C81" t="inlineStr">
        <is>
          <t>Sales &amp; Marketing</t>
        </is>
      </c>
      <c r="D81" t="inlineStr">
        <is>
          <t>Operating Expenses</t>
        </is>
      </c>
      <c r="E81" t="inlineStr">
        <is>
          <t>Google Ads</t>
        </is>
      </c>
      <c r="F81" t="n">
        <v>55796.67</v>
      </c>
    </row>
    <row r="82">
      <c r="A82" s="6" t="n">
        <v>46163</v>
      </c>
      <c r="B82" t="inlineStr">
        <is>
          <t>May-26</t>
        </is>
      </c>
      <c r="C82" t="inlineStr">
        <is>
          <t>Sales &amp; Marketing</t>
        </is>
      </c>
      <c r="D82" t="inlineStr">
        <is>
          <t>Operating Expenses</t>
        </is>
      </c>
      <c r="E82" t="inlineStr">
        <is>
          <t>Contractors</t>
        </is>
      </c>
      <c r="F82" t="n">
        <v>55796.66</v>
      </c>
    </row>
    <row r="83">
      <c r="A83" s="6" t="n">
        <v>46176</v>
      </c>
      <c r="B83" t="inlineStr">
        <is>
          <t>Jun-26</t>
        </is>
      </c>
      <c r="C83" t="inlineStr">
        <is>
          <t>Sales &amp; Marketing</t>
        </is>
      </c>
      <c r="D83" t="inlineStr">
        <is>
          <t>Operating Expenses</t>
        </is>
      </c>
      <c r="E83" t="inlineStr">
        <is>
          <t>Payroll</t>
        </is>
      </c>
      <c r="F83" t="n">
        <v>55442.33</v>
      </c>
    </row>
    <row r="84">
      <c r="A84" s="6" t="n">
        <v>46185</v>
      </c>
      <c r="B84" t="inlineStr">
        <is>
          <t>Jun-26</t>
        </is>
      </c>
      <c r="C84" t="inlineStr">
        <is>
          <t>Sales &amp; Marketing</t>
        </is>
      </c>
      <c r="D84" t="inlineStr">
        <is>
          <t>Operating Expenses</t>
        </is>
      </c>
      <c r="E84" t="inlineStr">
        <is>
          <t>Google Ads</t>
        </is>
      </c>
      <c r="F84" t="n">
        <v>55442.33</v>
      </c>
    </row>
    <row r="85">
      <c r="A85" s="6" t="n">
        <v>46194</v>
      </c>
      <c r="B85" t="inlineStr">
        <is>
          <t>Jun-26</t>
        </is>
      </c>
      <c r="C85" t="inlineStr">
        <is>
          <t>Sales &amp; Marketing</t>
        </is>
      </c>
      <c r="D85" t="inlineStr">
        <is>
          <t>Operating Expenses</t>
        </is>
      </c>
      <c r="E85" t="inlineStr">
        <is>
          <t>Contractors</t>
        </is>
      </c>
      <c r="F85" t="n">
        <v>55442.34</v>
      </c>
    </row>
    <row r="86">
      <c r="A86" s="6" t="n">
        <v>46025</v>
      </c>
      <c r="B86" t="inlineStr">
        <is>
          <t>Jan-26</t>
        </is>
      </c>
      <c r="C86" t="inlineStr">
        <is>
          <t>Research &amp; Development</t>
        </is>
      </c>
      <c r="D86" t="inlineStr">
        <is>
          <t>Operating Expenses</t>
        </is>
      </c>
      <c r="E86" t="inlineStr">
        <is>
          <t>Payroll</t>
        </is>
      </c>
      <c r="F86" t="n">
        <v>57697</v>
      </c>
    </row>
    <row r="87">
      <c r="A87" s="6" t="n">
        <v>46034</v>
      </c>
      <c r="B87" t="inlineStr">
        <is>
          <t>Jan-26</t>
        </is>
      </c>
      <c r="C87" t="inlineStr">
        <is>
          <t>Research &amp; Development</t>
        </is>
      </c>
      <c r="D87" t="inlineStr">
        <is>
          <t>Operating Expenses</t>
        </is>
      </c>
      <c r="E87" t="inlineStr">
        <is>
          <t>Google Ads</t>
        </is>
      </c>
      <c r="F87" t="n">
        <v>57697</v>
      </c>
    </row>
    <row r="88">
      <c r="A88" s="6" t="n">
        <v>46043</v>
      </c>
      <c r="B88" t="inlineStr">
        <is>
          <t>Jan-26</t>
        </is>
      </c>
      <c r="C88" t="inlineStr">
        <is>
          <t>Research &amp; Development</t>
        </is>
      </c>
      <c r="D88" t="inlineStr">
        <is>
          <t>Operating Expenses</t>
        </is>
      </c>
      <c r="E88" t="inlineStr">
        <is>
          <t>Contractors</t>
        </is>
      </c>
      <c r="F88" t="n">
        <v>57697</v>
      </c>
    </row>
    <row r="89">
      <c r="A89" s="6" t="n">
        <v>46056</v>
      </c>
      <c r="B89" t="inlineStr">
        <is>
          <t>Feb-26</t>
        </is>
      </c>
      <c r="C89" t="inlineStr">
        <is>
          <t>Research &amp; Development</t>
        </is>
      </c>
      <c r="D89" t="inlineStr">
        <is>
          <t>Operating Expenses</t>
        </is>
      </c>
      <c r="E89" t="inlineStr">
        <is>
          <t>Payroll</t>
        </is>
      </c>
      <c r="F89" t="n">
        <v>57335</v>
      </c>
    </row>
    <row r="90">
      <c r="A90" s="6" t="n">
        <v>46065</v>
      </c>
      <c r="B90" t="inlineStr">
        <is>
          <t>Feb-26</t>
        </is>
      </c>
      <c r="C90" t="inlineStr">
        <is>
          <t>Research &amp; Development</t>
        </is>
      </c>
      <c r="D90" t="inlineStr">
        <is>
          <t>Operating Expenses</t>
        </is>
      </c>
      <c r="E90" t="inlineStr">
        <is>
          <t>Google Ads</t>
        </is>
      </c>
      <c r="F90" t="n">
        <v>57335</v>
      </c>
    </row>
    <row r="91">
      <c r="A91" s="6" t="n">
        <v>46074</v>
      </c>
      <c r="B91" t="inlineStr">
        <is>
          <t>Feb-26</t>
        </is>
      </c>
      <c r="C91" t="inlineStr">
        <is>
          <t>Research &amp; Development</t>
        </is>
      </c>
      <c r="D91" t="inlineStr">
        <is>
          <t>Operating Expenses</t>
        </is>
      </c>
      <c r="E91" t="inlineStr">
        <is>
          <t>Contractors</t>
        </is>
      </c>
      <c r="F91" t="n">
        <v>57335</v>
      </c>
    </row>
    <row r="92">
      <c r="A92" s="6" t="n">
        <v>46084</v>
      </c>
      <c r="B92" t="inlineStr">
        <is>
          <t>Mar-26</t>
        </is>
      </c>
      <c r="C92" t="inlineStr">
        <is>
          <t>Research &amp; Development</t>
        </is>
      </c>
      <c r="D92" t="inlineStr">
        <is>
          <t>Operating Expenses</t>
        </is>
      </c>
      <c r="E92" t="inlineStr">
        <is>
          <t>Payroll</t>
        </is>
      </c>
      <c r="F92" t="n">
        <v>58179.33</v>
      </c>
    </row>
    <row r="93">
      <c r="A93" s="6" t="n">
        <v>46093</v>
      </c>
      <c r="B93" t="inlineStr">
        <is>
          <t>Mar-26</t>
        </is>
      </c>
      <c r="C93" t="inlineStr">
        <is>
          <t>Research &amp; Development</t>
        </is>
      </c>
      <c r="D93" t="inlineStr">
        <is>
          <t>Operating Expenses</t>
        </is>
      </c>
      <c r="E93" t="inlineStr">
        <is>
          <t>Google Ads</t>
        </is>
      </c>
      <c r="F93" t="n">
        <v>58179.33</v>
      </c>
    </row>
    <row r="94">
      <c r="A94" s="6" t="n">
        <v>46102</v>
      </c>
      <c r="B94" t="inlineStr">
        <is>
          <t>Mar-26</t>
        </is>
      </c>
      <c r="C94" t="inlineStr">
        <is>
          <t>Research &amp; Development</t>
        </is>
      </c>
      <c r="D94" t="inlineStr">
        <is>
          <t>Operating Expenses</t>
        </is>
      </c>
      <c r="E94" t="inlineStr">
        <is>
          <t>Contractors</t>
        </is>
      </c>
      <c r="F94" t="n">
        <v>58179.34</v>
      </c>
    </row>
    <row r="95">
      <c r="A95" s="6" t="n">
        <v>46115</v>
      </c>
      <c r="B95" t="inlineStr">
        <is>
          <t>Apr-26</t>
        </is>
      </c>
      <c r="C95" t="inlineStr">
        <is>
          <t>Research &amp; Development</t>
        </is>
      </c>
      <c r="D95" t="inlineStr">
        <is>
          <t>Operating Expenses</t>
        </is>
      </c>
      <c r="E95" t="inlineStr">
        <is>
          <t>Payroll</t>
        </is>
      </c>
      <c r="F95" t="n">
        <v>58848.33</v>
      </c>
    </row>
    <row r="96">
      <c r="A96" s="6" t="n">
        <v>46124</v>
      </c>
      <c r="B96" t="inlineStr">
        <is>
          <t>Apr-26</t>
        </is>
      </c>
      <c r="C96" t="inlineStr">
        <is>
          <t>Research &amp; Development</t>
        </is>
      </c>
      <c r="D96" t="inlineStr">
        <is>
          <t>Operating Expenses</t>
        </is>
      </c>
      <c r="E96" t="inlineStr">
        <is>
          <t>Google Ads</t>
        </is>
      </c>
      <c r="F96" t="n">
        <v>58848.33</v>
      </c>
    </row>
    <row r="97">
      <c r="A97" s="6" t="n">
        <v>46133</v>
      </c>
      <c r="B97" t="inlineStr">
        <is>
          <t>Apr-26</t>
        </is>
      </c>
      <c r="C97" t="inlineStr">
        <is>
          <t>Research &amp; Development</t>
        </is>
      </c>
      <c r="D97" t="inlineStr">
        <is>
          <t>Operating Expenses</t>
        </is>
      </c>
      <c r="E97" t="inlineStr">
        <is>
          <t>Contractors</t>
        </is>
      </c>
      <c r="F97" t="n">
        <v>58848.34</v>
      </c>
    </row>
    <row r="98">
      <c r="A98" s="6" t="n">
        <v>46145</v>
      </c>
      <c r="B98" t="inlineStr">
        <is>
          <t>May-26</t>
        </is>
      </c>
      <c r="C98" t="inlineStr">
        <is>
          <t>Research &amp; Development</t>
        </is>
      </c>
      <c r="D98" t="inlineStr">
        <is>
          <t>Operating Expenses</t>
        </is>
      </c>
      <c r="E98" t="inlineStr">
        <is>
          <t>Payroll</t>
        </is>
      </c>
      <c r="F98" t="n">
        <v>58967.67</v>
      </c>
    </row>
    <row r="99">
      <c r="A99" s="6" t="n">
        <v>46154</v>
      </c>
      <c r="B99" t="inlineStr">
        <is>
          <t>May-26</t>
        </is>
      </c>
      <c r="C99" t="inlineStr">
        <is>
          <t>Research &amp; Development</t>
        </is>
      </c>
      <c r="D99" t="inlineStr">
        <is>
          <t>Operating Expenses</t>
        </is>
      </c>
      <c r="E99" t="inlineStr">
        <is>
          <t>Google Ads</t>
        </is>
      </c>
      <c r="F99" t="n">
        <v>58967.67</v>
      </c>
    </row>
    <row r="100">
      <c r="A100" s="6" t="n">
        <v>46163</v>
      </c>
      <c r="B100" t="inlineStr">
        <is>
          <t>May-26</t>
        </is>
      </c>
      <c r="C100" t="inlineStr">
        <is>
          <t>Research &amp; Development</t>
        </is>
      </c>
      <c r="D100" t="inlineStr">
        <is>
          <t>Operating Expenses</t>
        </is>
      </c>
      <c r="E100" t="inlineStr">
        <is>
          <t>Contractors</t>
        </is>
      </c>
      <c r="F100" t="n">
        <v>58967.66</v>
      </c>
    </row>
    <row r="101">
      <c r="A101" s="6" t="n">
        <v>46176</v>
      </c>
      <c r="B101" t="inlineStr">
        <is>
          <t>Jun-26</t>
        </is>
      </c>
      <c r="C101" t="inlineStr">
        <is>
          <t>Research &amp; Development</t>
        </is>
      </c>
      <c r="D101" t="inlineStr">
        <is>
          <t>Operating Expenses</t>
        </is>
      </c>
      <c r="E101" t="inlineStr">
        <is>
          <t>Payroll</t>
        </is>
      </c>
      <c r="F101" t="n">
        <v>60069</v>
      </c>
    </row>
    <row r="102">
      <c r="A102" s="6" t="n">
        <v>46185</v>
      </c>
      <c r="B102" t="inlineStr">
        <is>
          <t>Jun-26</t>
        </is>
      </c>
      <c r="C102" t="inlineStr">
        <is>
          <t>Research &amp; Development</t>
        </is>
      </c>
      <c r="D102" t="inlineStr">
        <is>
          <t>Operating Expenses</t>
        </is>
      </c>
      <c r="E102" t="inlineStr">
        <is>
          <t>Google Ads</t>
        </is>
      </c>
      <c r="F102" t="n">
        <v>60069</v>
      </c>
    </row>
    <row r="103">
      <c r="A103" s="6" t="n">
        <v>46194</v>
      </c>
      <c r="B103" t="inlineStr">
        <is>
          <t>Jun-26</t>
        </is>
      </c>
      <c r="C103" t="inlineStr">
        <is>
          <t>Research &amp; Development</t>
        </is>
      </c>
      <c r="D103" t="inlineStr">
        <is>
          <t>Operating Expenses</t>
        </is>
      </c>
      <c r="E103" t="inlineStr">
        <is>
          <t>Contractors</t>
        </is>
      </c>
      <c r="F103" t="n">
        <v>60069</v>
      </c>
    </row>
    <row r="104">
      <c r="A104" s="6" t="n">
        <v>46025</v>
      </c>
      <c r="B104" t="inlineStr">
        <is>
          <t>Jan-26</t>
        </is>
      </c>
      <c r="C104" t="inlineStr">
        <is>
          <t>General &amp; Administrative</t>
        </is>
      </c>
      <c r="D104" t="inlineStr">
        <is>
          <t>Operating Expenses</t>
        </is>
      </c>
      <c r="E104" t="inlineStr">
        <is>
          <t>Payroll</t>
        </is>
      </c>
      <c r="F104" t="n">
        <v>23054.33</v>
      </c>
    </row>
    <row r="105">
      <c r="A105" s="6" t="n">
        <v>46034</v>
      </c>
      <c r="B105" t="inlineStr">
        <is>
          <t>Jan-26</t>
        </is>
      </c>
      <c r="C105" t="inlineStr">
        <is>
          <t>General &amp; Administrative</t>
        </is>
      </c>
      <c r="D105" t="inlineStr">
        <is>
          <t>Operating Expenses</t>
        </is>
      </c>
      <c r="E105" t="inlineStr">
        <is>
          <t>Google Ads</t>
        </is>
      </c>
      <c r="F105" t="n">
        <v>23054.33</v>
      </c>
    </row>
    <row r="106">
      <c r="A106" s="6" t="n">
        <v>46043</v>
      </c>
      <c r="B106" t="inlineStr">
        <is>
          <t>Jan-26</t>
        </is>
      </c>
      <c r="C106" t="inlineStr">
        <is>
          <t>General &amp; Administrative</t>
        </is>
      </c>
      <c r="D106" t="inlineStr">
        <is>
          <t>Operating Expenses</t>
        </is>
      </c>
      <c r="E106" t="inlineStr">
        <is>
          <t>Contractors</t>
        </is>
      </c>
      <c r="F106" t="n">
        <v>23054.34</v>
      </c>
    </row>
    <row r="107">
      <c r="A107" s="6" t="n">
        <v>46056</v>
      </c>
      <c r="B107" t="inlineStr">
        <is>
          <t>Feb-26</t>
        </is>
      </c>
      <c r="C107" t="inlineStr">
        <is>
          <t>General &amp; Administrative</t>
        </is>
      </c>
      <c r="D107" t="inlineStr">
        <is>
          <t>Operating Expenses</t>
        </is>
      </c>
      <c r="E107" t="inlineStr">
        <is>
          <t>Payroll</t>
        </is>
      </c>
      <c r="F107" t="n">
        <v>22916.67</v>
      </c>
    </row>
    <row r="108">
      <c r="A108" s="6" t="n">
        <v>46065</v>
      </c>
      <c r="B108" t="inlineStr">
        <is>
          <t>Feb-26</t>
        </is>
      </c>
      <c r="C108" t="inlineStr">
        <is>
          <t>General &amp; Administrative</t>
        </is>
      </c>
      <c r="D108" t="inlineStr">
        <is>
          <t>Operating Expenses</t>
        </is>
      </c>
      <c r="E108" t="inlineStr">
        <is>
          <t>Google Ads</t>
        </is>
      </c>
      <c r="F108" t="n">
        <v>22916.67</v>
      </c>
    </row>
    <row r="109">
      <c r="A109" s="6" t="n">
        <v>46074</v>
      </c>
      <c r="B109" t="inlineStr">
        <is>
          <t>Feb-26</t>
        </is>
      </c>
      <c r="C109" t="inlineStr">
        <is>
          <t>General &amp; Administrative</t>
        </is>
      </c>
      <c r="D109" t="inlineStr">
        <is>
          <t>Operating Expenses</t>
        </is>
      </c>
      <c r="E109" t="inlineStr">
        <is>
          <t>Contractors</t>
        </is>
      </c>
      <c r="F109" t="n">
        <v>22916.66</v>
      </c>
    </row>
    <row r="110">
      <c r="A110" s="6" t="n">
        <v>46084</v>
      </c>
      <c r="B110" t="inlineStr">
        <is>
          <t>Mar-26</t>
        </is>
      </c>
      <c r="C110" t="inlineStr">
        <is>
          <t>General &amp; Administrative</t>
        </is>
      </c>
      <c r="D110" t="inlineStr">
        <is>
          <t>Operating Expenses</t>
        </is>
      </c>
      <c r="E110" t="inlineStr">
        <is>
          <t>Payroll</t>
        </is>
      </c>
      <c r="F110" t="n">
        <v>23091.67</v>
      </c>
    </row>
    <row r="111">
      <c r="A111" s="6" t="n">
        <v>46093</v>
      </c>
      <c r="B111" t="inlineStr">
        <is>
          <t>Mar-26</t>
        </is>
      </c>
      <c r="C111" t="inlineStr">
        <is>
          <t>General &amp; Administrative</t>
        </is>
      </c>
      <c r="D111" t="inlineStr">
        <is>
          <t>Operating Expenses</t>
        </is>
      </c>
      <c r="E111" t="inlineStr">
        <is>
          <t>Google Ads</t>
        </is>
      </c>
      <c r="F111" t="n">
        <v>23091.67</v>
      </c>
    </row>
    <row r="112">
      <c r="A112" s="6" t="n">
        <v>46102</v>
      </c>
      <c r="B112" t="inlineStr">
        <is>
          <t>Mar-26</t>
        </is>
      </c>
      <c r="C112" t="inlineStr">
        <is>
          <t>General &amp; Administrative</t>
        </is>
      </c>
      <c r="D112" t="inlineStr">
        <is>
          <t>Operating Expenses</t>
        </is>
      </c>
      <c r="E112" t="inlineStr">
        <is>
          <t>Contractors</t>
        </is>
      </c>
      <c r="F112" t="n">
        <v>23091.66</v>
      </c>
    </row>
    <row r="113">
      <c r="A113" s="6" t="n">
        <v>46115</v>
      </c>
      <c r="B113" t="inlineStr">
        <is>
          <t>Apr-26</t>
        </is>
      </c>
      <c r="C113" t="inlineStr">
        <is>
          <t>General &amp; Administrative</t>
        </is>
      </c>
      <c r="D113" t="inlineStr">
        <is>
          <t>Operating Expenses</t>
        </is>
      </c>
      <c r="E113" t="inlineStr">
        <is>
          <t>Payroll</t>
        </is>
      </c>
      <c r="F113" t="n">
        <v>24387.67</v>
      </c>
    </row>
    <row r="114">
      <c r="A114" s="6" t="n">
        <v>46124</v>
      </c>
      <c r="B114" t="inlineStr">
        <is>
          <t>Apr-26</t>
        </is>
      </c>
      <c r="C114" t="inlineStr">
        <is>
          <t>General &amp; Administrative</t>
        </is>
      </c>
      <c r="D114" t="inlineStr">
        <is>
          <t>Operating Expenses</t>
        </is>
      </c>
      <c r="E114" t="inlineStr">
        <is>
          <t>Google Ads</t>
        </is>
      </c>
      <c r="F114" t="n">
        <v>24387.67</v>
      </c>
    </row>
    <row r="115">
      <c r="A115" s="6" t="n">
        <v>46133</v>
      </c>
      <c r="B115" t="inlineStr">
        <is>
          <t>Apr-26</t>
        </is>
      </c>
      <c r="C115" t="inlineStr">
        <is>
          <t>General &amp; Administrative</t>
        </is>
      </c>
      <c r="D115" t="inlineStr">
        <is>
          <t>Operating Expenses</t>
        </is>
      </c>
      <c r="E115" t="inlineStr">
        <is>
          <t>Contractors</t>
        </is>
      </c>
      <c r="F115" t="n">
        <v>24387.66</v>
      </c>
    </row>
    <row r="116">
      <c r="A116" s="6" t="n">
        <v>46145</v>
      </c>
      <c r="B116" t="inlineStr">
        <is>
          <t>May-26</t>
        </is>
      </c>
      <c r="C116" t="inlineStr">
        <is>
          <t>General &amp; Administrative</t>
        </is>
      </c>
      <c r="D116" t="inlineStr">
        <is>
          <t>Operating Expenses</t>
        </is>
      </c>
      <c r="E116" t="inlineStr">
        <is>
          <t>Payroll</t>
        </is>
      </c>
      <c r="F116" t="n">
        <v>24663.67</v>
      </c>
    </row>
    <row r="117">
      <c r="A117" s="6" t="n">
        <v>46154</v>
      </c>
      <c r="B117" t="inlineStr">
        <is>
          <t>May-26</t>
        </is>
      </c>
      <c r="C117" t="inlineStr">
        <is>
          <t>General &amp; Administrative</t>
        </is>
      </c>
      <c r="D117" t="inlineStr">
        <is>
          <t>Operating Expenses</t>
        </is>
      </c>
      <c r="E117" t="inlineStr">
        <is>
          <t>Google Ads</t>
        </is>
      </c>
      <c r="F117" t="n">
        <v>24663.67</v>
      </c>
    </row>
    <row r="118">
      <c r="A118" s="6" t="n">
        <v>46163</v>
      </c>
      <c r="B118" t="inlineStr">
        <is>
          <t>May-26</t>
        </is>
      </c>
      <c r="C118" t="inlineStr">
        <is>
          <t>General &amp; Administrative</t>
        </is>
      </c>
      <c r="D118" t="inlineStr">
        <is>
          <t>Operating Expenses</t>
        </is>
      </c>
      <c r="E118" t="inlineStr">
        <is>
          <t>Contractors</t>
        </is>
      </c>
      <c r="F118" t="n">
        <v>24663.66</v>
      </c>
    </row>
    <row r="119">
      <c r="A119" s="6" t="n">
        <v>46176</v>
      </c>
      <c r="B119" t="inlineStr">
        <is>
          <t>Jun-26</t>
        </is>
      </c>
      <c r="C119" t="inlineStr">
        <is>
          <t>General &amp; Administrative</t>
        </is>
      </c>
      <c r="D119" t="inlineStr">
        <is>
          <t>Operating Expenses</t>
        </is>
      </c>
      <c r="E119" t="inlineStr">
        <is>
          <t>Payroll</t>
        </is>
      </c>
      <c r="F119" t="n">
        <v>24528.67</v>
      </c>
    </row>
    <row r="120">
      <c r="A120" s="6" t="n">
        <v>46185</v>
      </c>
      <c r="B120" t="inlineStr">
        <is>
          <t>Jun-26</t>
        </is>
      </c>
      <c r="C120" t="inlineStr">
        <is>
          <t>General &amp; Administrative</t>
        </is>
      </c>
      <c r="D120" t="inlineStr">
        <is>
          <t>Operating Expenses</t>
        </is>
      </c>
      <c r="E120" t="inlineStr">
        <is>
          <t>Google Ads</t>
        </is>
      </c>
      <c r="F120" t="n">
        <v>24528.67</v>
      </c>
    </row>
    <row r="121">
      <c r="A121" s="6" t="n">
        <v>46194</v>
      </c>
      <c r="B121" t="inlineStr">
        <is>
          <t>Jun-26</t>
        </is>
      </c>
      <c r="C121" t="inlineStr">
        <is>
          <t>General &amp; Administrative</t>
        </is>
      </c>
      <c r="D121" t="inlineStr">
        <is>
          <t>Operating Expenses</t>
        </is>
      </c>
      <c r="E121" t="inlineStr">
        <is>
          <t>Contractors</t>
        </is>
      </c>
      <c r="F121" t="n">
        <v>24528.66</v>
      </c>
    </row>
    <row r="122">
      <c r="A122" s="6" t="n">
        <v>46025</v>
      </c>
      <c r="B122" t="inlineStr">
        <is>
          <t>Jan-26</t>
        </is>
      </c>
      <c r="C122" t="inlineStr">
        <is>
          <t>Rent &amp; Facilities</t>
        </is>
      </c>
      <c r="D122" t="inlineStr">
        <is>
          <t>Operating Expenses</t>
        </is>
      </c>
      <c r="E122" t="inlineStr">
        <is>
          <t>Payroll</t>
        </is>
      </c>
      <c r="F122" t="n">
        <v>16000</v>
      </c>
    </row>
    <row r="123">
      <c r="A123" s="6" t="n">
        <v>46034</v>
      </c>
      <c r="B123" t="inlineStr">
        <is>
          <t>Jan-26</t>
        </is>
      </c>
      <c r="C123" t="inlineStr">
        <is>
          <t>Rent &amp; Facilities</t>
        </is>
      </c>
      <c r="D123" t="inlineStr">
        <is>
          <t>Operating Expenses</t>
        </is>
      </c>
      <c r="E123" t="inlineStr">
        <is>
          <t>Google Ads</t>
        </is>
      </c>
      <c r="F123" t="n">
        <v>16000</v>
      </c>
    </row>
    <row r="124">
      <c r="A124" s="6" t="n">
        <v>46056</v>
      </c>
      <c r="B124" t="inlineStr">
        <is>
          <t>Feb-26</t>
        </is>
      </c>
      <c r="C124" t="inlineStr">
        <is>
          <t>Rent &amp; Facilities</t>
        </is>
      </c>
      <c r="D124" t="inlineStr">
        <is>
          <t>Operating Expenses</t>
        </is>
      </c>
      <c r="E124" t="inlineStr">
        <is>
          <t>Payroll</t>
        </is>
      </c>
      <c r="F124" t="n">
        <v>16000</v>
      </c>
    </row>
    <row r="125">
      <c r="A125" s="6" t="n">
        <v>46065</v>
      </c>
      <c r="B125" t="inlineStr">
        <is>
          <t>Feb-26</t>
        </is>
      </c>
      <c r="C125" t="inlineStr">
        <is>
          <t>Rent &amp; Facilities</t>
        </is>
      </c>
      <c r="D125" t="inlineStr">
        <is>
          <t>Operating Expenses</t>
        </is>
      </c>
      <c r="E125" t="inlineStr">
        <is>
          <t>Google Ads</t>
        </is>
      </c>
      <c r="F125" t="n">
        <v>16000</v>
      </c>
    </row>
    <row r="126">
      <c r="A126" s="6" t="n">
        <v>46084</v>
      </c>
      <c r="B126" t="inlineStr">
        <is>
          <t>Mar-26</t>
        </is>
      </c>
      <c r="C126" t="inlineStr">
        <is>
          <t>Rent &amp; Facilities</t>
        </is>
      </c>
      <c r="D126" t="inlineStr">
        <is>
          <t>Operating Expenses</t>
        </is>
      </c>
      <c r="E126" t="inlineStr">
        <is>
          <t>Payroll</t>
        </is>
      </c>
      <c r="F126" t="n">
        <v>16000</v>
      </c>
    </row>
    <row r="127">
      <c r="A127" s="6" t="n">
        <v>46093</v>
      </c>
      <c r="B127" t="inlineStr">
        <is>
          <t>Mar-26</t>
        </is>
      </c>
      <c r="C127" t="inlineStr">
        <is>
          <t>Rent &amp; Facilities</t>
        </is>
      </c>
      <c r="D127" t="inlineStr">
        <is>
          <t>Operating Expenses</t>
        </is>
      </c>
      <c r="E127" t="inlineStr">
        <is>
          <t>Google Ads</t>
        </is>
      </c>
      <c r="F127" t="n">
        <v>16000</v>
      </c>
    </row>
    <row r="128">
      <c r="A128" s="6" t="n">
        <v>46115</v>
      </c>
      <c r="B128" t="inlineStr">
        <is>
          <t>Apr-26</t>
        </is>
      </c>
      <c r="C128" t="inlineStr">
        <is>
          <t>Rent &amp; Facilities</t>
        </is>
      </c>
      <c r="D128" t="inlineStr">
        <is>
          <t>Operating Expenses</t>
        </is>
      </c>
      <c r="E128" t="inlineStr">
        <is>
          <t>Payroll</t>
        </is>
      </c>
      <c r="F128" t="n">
        <v>16000</v>
      </c>
    </row>
    <row r="129">
      <c r="A129" s="6" t="n">
        <v>46124</v>
      </c>
      <c r="B129" t="inlineStr">
        <is>
          <t>Apr-26</t>
        </is>
      </c>
      <c r="C129" t="inlineStr">
        <is>
          <t>Rent &amp; Facilities</t>
        </is>
      </c>
      <c r="D129" t="inlineStr">
        <is>
          <t>Operating Expenses</t>
        </is>
      </c>
      <c r="E129" t="inlineStr">
        <is>
          <t>Google Ads</t>
        </is>
      </c>
      <c r="F129" t="n">
        <v>16000</v>
      </c>
    </row>
    <row r="130">
      <c r="A130" s="6" t="n">
        <v>46145</v>
      </c>
      <c r="B130" t="inlineStr">
        <is>
          <t>May-26</t>
        </is>
      </c>
      <c r="C130" t="inlineStr">
        <is>
          <t>Rent &amp; Facilities</t>
        </is>
      </c>
      <c r="D130" t="inlineStr">
        <is>
          <t>Operating Expenses</t>
        </is>
      </c>
      <c r="E130" t="inlineStr">
        <is>
          <t>Payroll</t>
        </is>
      </c>
      <c r="F130" t="n">
        <v>16000</v>
      </c>
    </row>
    <row r="131">
      <c r="A131" s="6" t="n">
        <v>46154</v>
      </c>
      <c r="B131" t="inlineStr">
        <is>
          <t>May-26</t>
        </is>
      </c>
      <c r="C131" t="inlineStr">
        <is>
          <t>Rent &amp; Facilities</t>
        </is>
      </c>
      <c r="D131" t="inlineStr">
        <is>
          <t>Operating Expenses</t>
        </is>
      </c>
      <c r="E131" t="inlineStr">
        <is>
          <t>Google Ads</t>
        </is>
      </c>
      <c r="F131" t="n">
        <v>16000</v>
      </c>
    </row>
    <row r="132">
      <c r="A132" s="6" t="n">
        <v>46176</v>
      </c>
      <c r="B132" t="inlineStr">
        <is>
          <t>Jun-26</t>
        </is>
      </c>
      <c r="C132" t="inlineStr">
        <is>
          <t>Rent &amp; Facilities</t>
        </is>
      </c>
      <c r="D132" t="inlineStr">
        <is>
          <t>Operating Expenses</t>
        </is>
      </c>
      <c r="E132" t="inlineStr">
        <is>
          <t>Payroll</t>
        </is>
      </c>
      <c r="F132" t="n">
        <v>16000</v>
      </c>
    </row>
    <row r="133">
      <c r="A133" s="6" t="n">
        <v>46185</v>
      </c>
      <c r="B133" t="inlineStr">
        <is>
          <t>Jun-26</t>
        </is>
      </c>
      <c r="C133" t="inlineStr">
        <is>
          <t>Rent &amp; Facilities</t>
        </is>
      </c>
      <c r="D133" t="inlineStr">
        <is>
          <t>Operating Expenses</t>
        </is>
      </c>
      <c r="E133" t="inlineStr">
        <is>
          <t>Google Ads</t>
        </is>
      </c>
      <c r="F133" t="n">
        <v>16000</v>
      </c>
    </row>
    <row r="134">
      <c r="A134" s="6" t="n">
        <v>46025</v>
      </c>
      <c r="B134" t="inlineStr">
        <is>
          <t>Jan-26</t>
        </is>
      </c>
      <c r="C134" t="inlineStr">
        <is>
          <t>Interest Expense</t>
        </is>
      </c>
      <c r="D134" t="inlineStr">
        <is>
          <t>Finance</t>
        </is>
      </c>
      <c r="E134" t="inlineStr">
        <is>
          <t>Bank</t>
        </is>
      </c>
      <c r="F134" t="n">
        <v>3250</v>
      </c>
    </row>
    <row r="135">
      <c r="A135" s="6" t="n">
        <v>46034</v>
      </c>
      <c r="B135" t="inlineStr">
        <is>
          <t>Jan-26</t>
        </is>
      </c>
      <c r="C135" t="inlineStr">
        <is>
          <t>Interest Expense</t>
        </is>
      </c>
      <c r="D135" t="inlineStr">
        <is>
          <t>Finance</t>
        </is>
      </c>
      <c r="E135" t="inlineStr">
        <is>
          <t>IRS</t>
        </is>
      </c>
      <c r="F135" t="n">
        <v>3250</v>
      </c>
    </row>
    <row r="136">
      <c r="A136" s="6" t="n">
        <v>46056</v>
      </c>
      <c r="B136" t="inlineStr">
        <is>
          <t>Feb-26</t>
        </is>
      </c>
      <c r="C136" t="inlineStr">
        <is>
          <t>Interest Expense</t>
        </is>
      </c>
      <c r="D136" t="inlineStr">
        <is>
          <t>Finance</t>
        </is>
      </c>
      <c r="E136" t="inlineStr">
        <is>
          <t>Bank</t>
        </is>
      </c>
      <c r="F136" t="n">
        <v>3250</v>
      </c>
    </row>
    <row r="137">
      <c r="A137" s="6" t="n">
        <v>46065</v>
      </c>
      <c r="B137" t="inlineStr">
        <is>
          <t>Feb-26</t>
        </is>
      </c>
      <c r="C137" t="inlineStr">
        <is>
          <t>Interest Expense</t>
        </is>
      </c>
      <c r="D137" t="inlineStr">
        <is>
          <t>Finance</t>
        </is>
      </c>
      <c r="E137" t="inlineStr">
        <is>
          <t>IRS</t>
        </is>
      </c>
      <c r="F137" t="n">
        <v>3250</v>
      </c>
    </row>
    <row r="138">
      <c r="A138" s="6" t="n">
        <v>46084</v>
      </c>
      <c r="B138" t="inlineStr">
        <is>
          <t>Mar-26</t>
        </is>
      </c>
      <c r="C138" t="inlineStr">
        <is>
          <t>Interest Expense</t>
        </is>
      </c>
      <c r="D138" t="inlineStr">
        <is>
          <t>Finance</t>
        </is>
      </c>
      <c r="E138" t="inlineStr">
        <is>
          <t>Bank</t>
        </is>
      </c>
      <c r="F138" t="n">
        <v>3250</v>
      </c>
    </row>
    <row r="139">
      <c r="A139" s="6" t="n">
        <v>46093</v>
      </c>
      <c r="B139" t="inlineStr">
        <is>
          <t>Mar-26</t>
        </is>
      </c>
      <c r="C139" t="inlineStr">
        <is>
          <t>Interest Expense</t>
        </is>
      </c>
      <c r="D139" t="inlineStr">
        <is>
          <t>Finance</t>
        </is>
      </c>
      <c r="E139" t="inlineStr">
        <is>
          <t>IRS</t>
        </is>
      </c>
      <c r="F139" t="n">
        <v>3250</v>
      </c>
    </row>
    <row r="140">
      <c r="A140" s="6" t="n">
        <v>46115</v>
      </c>
      <c r="B140" t="inlineStr">
        <is>
          <t>Apr-26</t>
        </is>
      </c>
      <c r="C140" t="inlineStr">
        <is>
          <t>Interest Expense</t>
        </is>
      </c>
      <c r="D140" t="inlineStr">
        <is>
          <t>Finance</t>
        </is>
      </c>
      <c r="E140" t="inlineStr">
        <is>
          <t>Bank</t>
        </is>
      </c>
      <c r="F140" t="n">
        <v>3250</v>
      </c>
    </row>
    <row r="141">
      <c r="A141" s="6" t="n">
        <v>46124</v>
      </c>
      <c r="B141" t="inlineStr">
        <is>
          <t>Apr-26</t>
        </is>
      </c>
      <c r="C141" t="inlineStr">
        <is>
          <t>Interest Expense</t>
        </is>
      </c>
      <c r="D141" t="inlineStr">
        <is>
          <t>Finance</t>
        </is>
      </c>
      <c r="E141" t="inlineStr">
        <is>
          <t>IRS</t>
        </is>
      </c>
      <c r="F141" t="n">
        <v>3250</v>
      </c>
    </row>
    <row r="142">
      <c r="A142" s="6" t="n">
        <v>46145</v>
      </c>
      <c r="B142" t="inlineStr">
        <is>
          <t>May-26</t>
        </is>
      </c>
      <c r="C142" t="inlineStr">
        <is>
          <t>Interest Expense</t>
        </is>
      </c>
      <c r="D142" t="inlineStr">
        <is>
          <t>Finance</t>
        </is>
      </c>
      <c r="E142" t="inlineStr">
        <is>
          <t>Bank</t>
        </is>
      </c>
      <c r="F142" t="n">
        <v>3250</v>
      </c>
    </row>
    <row r="143">
      <c r="A143" s="6" t="n">
        <v>46154</v>
      </c>
      <c r="B143" t="inlineStr">
        <is>
          <t>May-26</t>
        </is>
      </c>
      <c r="C143" t="inlineStr">
        <is>
          <t>Interest Expense</t>
        </is>
      </c>
      <c r="D143" t="inlineStr">
        <is>
          <t>Finance</t>
        </is>
      </c>
      <c r="E143" t="inlineStr">
        <is>
          <t>IRS</t>
        </is>
      </c>
      <c r="F143" t="n">
        <v>3250</v>
      </c>
    </row>
    <row r="144">
      <c r="A144" s="6" t="n">
        <v>46176</v>
      </c>
      <c r="B144" t="inlineStr">
        <is>
          <t>Jun-26</t>
        </is>
      </c>
      <c r="C144" t="inlineStr">
        <is>
          <t>Interest Expense</t>
        </is>
      </c>
      <c r="D144" t="inlineStr">
        <is>
          <t>Finance</t>
        </is>
      </c>
      <c r="E144" t="inlineStr">
        <is>
          <t>Bank</t>
        </is>
      </c>
      <c r="F144" t="n">
        <v>3250</v>
      </c>
    </row>
    <row r="145">
      <c r="A145" s="6" t="n">
        <v>46185</v>
      </c>
      <c r="B145" t="inlineStr">
        <is>
          <t>Jun-26</t>
        </is>
      </c>
      <c r="C145" t="inlineStr">
        <is>
          <t>Interest Expense</t>
        </is>
      </c>
      <c r="D145" t="inlineStr">
        <is>
          <t>Finance</t>
        </is>
      </c>
      <c r="E145" t="inlineStr">
        <is>
          <t>IRS</t>
        </is>
      </c>
      <c r="F145" t="n">
        <v>3250</v>
      </c>
    </row>
    <row r="146">
      <c r="A146" s="6" t="n">
        <v>46025</v>
      </c>
      <c r="B146" t="inlineStr">
        <is>
          <t>Jan-26</t>
        </is>
      </c>
      <c r="C146" t="inlineStr">
        <is>
          <t>Income Tax</t>
        </is>
      </c>
      <c r="D146" t="inlineStr">
        <is>
          <t>Finance</t>
        </is>
      </c>
      <c r="E146" t="inlineStr">
        <is>
          <t>Bank</t>
        </is>
      </c>
      <c r="F146" t="n">
        <v>5354</v>
      </c>
    </row>
    <row r="147">
      <c r="A147" s="6" t="n">
        <v>46034</v>
      </c>
      <c r="B147" t="inlineStr">
        <is>
          <t>Jan-26</t>
        </is>
      </c>
      <c r="C147" t="inlineStr">
        <is>
          <t>Income Tax</t>
        </is>
      </c>
      <c r="D147" t="inlineStr">
        <is>
          <t>Finance</t>
        </is>
      </c>
      <c r="E147" t="inlineStr">
        <is>
          <t>IRS</t>
        </is>
      </c>
      <c r="F147" t="n">
        <v>5354</v>
      </c>
    </row>
    <row r="148">
      <c r="A148" s="6" t="n">
        <v>46056</v>
      </c>
      <c r="B148" t="inlineStr">
        <is>
          <t>Feb-26</t>
        </is>
      </c>
      <c r="C148" t="inlineStr">
        <is>
          <t>Income Tax</t>
        </is>
      </c>
      <c r="D148" t="inlineStr">
        <is>
          <t>Finance</t>
        </is>
      </c>
      <c r="E148" t="inlineStr">
        <is>
          <t>Bank</t>
        </is>
      </c>
      <c r="F148" t="n">
        <v>5597</v>
      </c>
    </row>
    <row r="149">
      <c r="A149" s="6" t="n">
        <v>46065</v>
      </c>
      <c r="B149" t="inlineStr">
        <is>
          <t>Feb-26</t>
        </is>
      </c>
      <c r="C149" t="inlineStr">
        <is>
          <t>Income Tax</t>
        </is>
      </c>
      <c r="D149" t="inlineStr">
        <is>
          <t>Finance</t>
        </is>
      </c>
      <c r="E149" t="inlineStr">
        <is>
          <t>IRS</t>
        </is>
      </c>
      <c r="F149" t="n">
        <v>5597</v>
      </c>
    </row>
    <row r="150">
      <c r="A150" s="6" t="n">
        <v>46084</v>
      </c>
      <c r="B150" t="inlineStr">
        <is>
          <t>Mar-26</t>
        </is>
      </c>
      <c r="C150" t="inlineStr">
        <is>
          <t>Income Tax</t>
        </is>
      </c>
      <c r="D150" t="inlineStr">
        <is>
          <t>Finance</t>
        </is>
      </c>
      <c r="E150" t="inlineStr">
        <is>
          <t>Bank</t>
        </is>
      </c>
      <c r="F150" t="n">
        <v>4102.5</v>
      </c>
    </row>
    <row r="151">
      <c r="A151" s="6" t="n">
        <v>46093</v>
      </c>
      <c r="B151" t="inlineStr">
        <is>
          <t>Mar-26</t>
        </is>
      </c>
      <c r="C151" t="inlineStr">
        <is>
          <t>Income Tax</t>
        </is>
      </c>
      <c r="D151" t="inlineStr">
        <is>
          <t>Finance</t>
        </is>
      </c>
      <c r="E151" t="inlineStr">
        <is>
          <t>IRS</t>
        </is>
      </c>
      <c r="F151" t="n">
        <v>4102.5</v>
      </c>
    </row>
    <row r="152">
      <c r="A152" s="6" t="n">
        <v>46115</v>
      </c>
      <c r="B152" t="inlineStr">
        <is>
          <t>Apr-26</t>
        </is>
      </c>
      <c r="C152" t="inlineStr">
        <is>
          <t>Income Tax</t>
        </is>
      </c>
      <c r="D152" t="inlineStr">
        <is>
          <t>Finance</t>
        </is>
      </c>
      <c r="E152" t="inlineStr">
        <is>
          <t>Bank</t>
        </is>
      </c>
      <c r="F152" t="n">
        <v>5237</v>
      </c>
    </row>
    <row r="153">
      <c r="A153" s="6" t="n">
        <v>46124</v>
      </c>
      <c r="B153" t="inlineStr">
        <is>
          <t>Apr-26</t>
        </is>
      </c>
      <c r="C153" t="inlineStr">
        <is>
          <t>Income Tax</t>
        </is>
      </c>
      <c r="D153" t="inlineStr">
        <is>
          <t>Finance</t>
        </is>
      </c>
      <c r="E153" t="inlineStr">
        <is>
          <t>IRS</t>
        </is>
      </c>
      <c r="F153" t="n">
        <v>5237</v>
      </c>
    </row>
    <row r="154">
      <c r="A154" s="6" t="n">
        <v>46145</v>
      </c>
      <c r="B154" t="inlineStr">
        <is>
          <t>May-26</t>
        </is>
      </c>
      <c r="C154" t="inlineStr">
        <is>
          <t>Income Tax</t>
        </is>
      </c>
      <c r="D154" t="inlineStr">
        <is>
          <t>Finance</t>
        </is>
      </c>
      <c r="E154" t="inlineStr">
        <is>
          <t>Bank</t>
        </is>
      </c>
      <c r="F154" t="n">
        <v>5164</v>
      </c>
    </row>
    <row r="155">
      <c r="A155" s="6" t="n">
        <v>46154</v>
      </c>
      <c r="B155" t="inlineStr">
        <is>
          <t>May-26</t>
        </is>
      </c>
      <c r="C155" t="inlineStr">
        <is>
          <t>Income Tax</t>
        </is>
      </c>
      <c r="D155" t="inlineStr">
        <is>
          <t>Finance</t>
        </is>
      </c>
      <c r="E155" t="inlineStr">
        <is>
          <t>IRS</t>
        </is>
      </c>
      <c r="F155" t="n">
        <v>5164</v>
      </c>
    </row>
    <row r="156">
      <c r="A156" s="6" t="n">
        <v>46176</v>
      </c>
      <c r="B156" t="inlineStr">
        <is>
          <t>Jun-26</t>
        </is>
      </c>
      <c r="C156" t="inlineStr">
        <is>
          <t>Income Tax</t>
        </is>
      </c>
      <c r="D156" t="inlineStr">
        <is>
          <t>Finance</t>
        </is>
      </c>
      <c r="E156" t="inlineStr">
        <is>
          <t>Bank</t>
        </is>
      </c>
      <c r="F156" t="n">
        <v>5671.5</v>
      </c>
    </row>
    <row r="157">
      <c r="A157" s="6" t="n">
        <v>46185</v>
      </c>
      <c r="B157" t="inlineStr">
        <is>
          <t>Jun-26</t>
        </is>
      </c>
      <c r="C157" t="inlineStr">
        <is>
          <t>Income Tax</t>
        </is>
      </c>
      <c r="D157" t="inlineStr">
        <is>
          <t>Finance</t>
        </is>
      </c>
      <c r="E157" t="inlineStr">
        <is>
          <t>IRS</t>
        </is>
      </c>
      <c r="F157" t="n">
        <v>5671.5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Forecast Drivers (monthly growth, applied Jul-Dec)</t>
        </is>
      </c>
    </row>
    <row r="4">
      <c r="A4" s="2" t="inlineStr">
        <is>
          <t>Driver</t>
        </is>
      </c>
      <c r="B4" s="2" t="inlineStr">
        <is>
          <t>Monthly Rate</t>
        </is>
      </c>
      <c r="C4" s="2" t="inlineStr">
        <is>
          <t>Basis</t>
        </is>
      </c>
    </row>
    <row r="5">
      <c r="A5" t="inlineStr">
        <is>
          <t>Subscription Revenue growth</t>
        </is>
      </c>
      <c r="B5" s="5" t="n">
        <v>0.03</v>
      </c>
      <c r="C5" t="inlineStr">
        <is>
          <t>prior month x (1+rate)</t>
        </is>
      </c>
    </row>
    <row r="6">
      <c r="A6" t="inlineStr">
        <is>
          <t>Hosting &amp; Infrastructure growth</t>
        </is>
      </c>
      <c r="B6" s="5" t="n">
        <v>0.015</v>
      </c>
      <c r="C6" t="inlineStr">
        <is>
          <t>prior month x (1+rate)</t>
        </is>
      </c>
    </row>
    <row r="7">
      <c r="A7" t="inlineStr">
        <is>
          <t>Customer Support growth</t>
        </is>
      </c>
      <c r="B7" s="5" t="n">
        <v>0.01</v>
      </c>
      <c r="C7" t="inlineStr">
        <is>
          <t>prior month x (1+rate)</t>
        </is>
      </c>
    </row>
    <row r="8">
      <c r="A8" t="inlineStr">
        <is>
          <t>Sales &amp; Marketing growth</t>
        </is>
      </c>
      <c r="B8" s="5" t="n">
        <v>0.02</v>
      </c>
      <c r="C8" t="inlineStr">
        <is>
          <t>prior month x (1+rate)</t>
        </is>
      </c>
    </row>
    <row r="9">
      <c r="A9" t="inlineStr">
        <is>
          <t>R&amp;D growth</t>
        </is>
      </c>
      <c r="B9" s="5" t="n">
        <v>0.01</v>
      </c>
      <c r="C9" t="inlineStr">
        <is>
          <t>prior month x (1+rate)</t>
        </is>
      </c>
    </row>
    <row r="10">
      <c r="A10" t="inlineStr">
        <is>
          <t>G&amp;A growth</t>
        </is>
      </c>
      <c r="B10" s="5" t="n">
        <v>0.005</v>
      </c>
      <c r="C10" t="inlineStr">
        <is>
          <t>prior month x (1+rate)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2026-10-20T15:39:10Z</dcterms:created>
  <dcterms:modified xsi:type="dcterms:W3CDTF">2026-10-20T15:39:10Z</dcterms:modified>
</cp:coreProperties>
</file>