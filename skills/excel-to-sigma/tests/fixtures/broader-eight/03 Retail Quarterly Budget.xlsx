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GL Detail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(#,##0)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Sales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'Budget'!A9</f>
            </strRef>
          </tx>
          <spPr>
            <a:ln>
              <a:prstDash val="solid"/>
            </a:ln>
          </spPr>
          <cat>
            <numRef>
              <f>'Budget'!$B$4:$G$4</f>
            </numRef>
          </cat>
          <val>
            <numRef>
              <f>'Budget'!$B$9:$G$9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Budget — FY26 (Q1-Q2 actual, Q3-Q4 budget)</t>
        </is>
      </c>
    </row>
    <row r="4">
      <c r="A4" s="2" t="inlineStr">
        <is>
          <t>Account</t>
        </is>
      </c>
      <c r="B4" s="2" t="inlineStr">
        <is>
          <t>Q3 FY25</t>
        </is>
      </c>
      <c r="C4" s="2" t="inlineStr">
        <is>
          <t>Q4 FY25</t>
        </is>
      </c>
      <c r="D4" s="2" t="inlineStr">
        <is>
          <t>Q1 FY26</t>
        </is>
      </c>
      <c r="E4" s="2" t="inlineStr">
        <is>
          <t>Q2 FY26</t>
        </is>
      </c>
      <c r="F4" s="2" t="inlineStr">
        <is>
          <t>Q3 FY26 Bud</t>
        </is>
      </c>
      <c r="G4" s="2" t="inlineStr">
        <is>
          <t>Q4 FY26 Bud</t>
        </is>
      </c>
      <c r="H4" s="2" t="inlineStr">
        <is>
          <t>FY26 Total</t>
        </is>
      </c>
      <c r="I4" s="2" t="inlineStr">
        <is>
          <t>FY26 vs FY25 H2 %</t>
        </is>
      </c>
    </row>
    <row r="6">
      <c r="A6" s="3" t="inlineStr">
        <is>
          <t>Net Sales</t>
        </is>
      </c>
    </row>
    <row r="7">
      <c r="A7" t="inlineStr">
        <is>
          <t>In-Store Sales</t>
        </is>
      </c>
      <c r="B7" s="4">
        <f>SUMIFS('GL Detail'!$E:$E,'GL Detail'!$C:$C,$A7,'GL Detail'!$A:$A,B$4)</f>
        <v>2258850.66</v>
      </c>
      <c r="C7" s="4">
        <f>SUMIFS('GL Detail'!$E:$E,'GL Detail'!$C:$C,$A7,'GL Detail'!$A:$A,C$4)</f>
        <v>3237986.43</v>
      </c>
      <c r="D7" s="4">
        <f>SUMIFS('GL Detail'!$E:$E,'GL Detail'!$C:$C,$A7,'GL Detail'!$A:$A,D$4)</f>
        <v>2149541.92</v>
      </c>
      <c r="E7" s="4">
        <f>SUMIFS('GL Detail'!$E:$E,'GL Detail'!$C:$C,$A7,'GL Detail'!$A:$A,E$4)</f>
        <v>2460059.93</v>
      </c>
      <c r="F7" s="4">
        <f>B7*(1+Drivers!$B$4)</f>
        <v>2349204.6864</v>
      </c>
      <c r="G7" s="4">
        <f>C7*(1+Drivers!$B$4)</f>
        <v>3367505.8872</v>
      </c>
      <c r="H7" s="4">
        <f>SUM(D7:G7)</f>
        <v>10326312.4236</v>
      </c>
      <c r="I7" s="5">
        <f>IFERROR((F7+G7)/(B7+C7)-1,"n/a")</f>
        <v>0.040000000000000036</v>
      </c>
    </row>
    <row r="8">
      <c r="A8" t="inlineStr">
        <is>
          <t>E-Commerce Sales</t>
        </is>
      </c>
      <c r="B8" s="4">
        <f>SUMIFS('GL Detail'!$E:$E,'GL Detail'!$C:$C,$A8,'GL Detail'!$A:$A,B$4)</f>
        <v>862108.13</v>
      </c>
      <c r="C8" s="4">
        <f>SUMIFS('GL Detail'!$E:$E,'GL Detail'!$C:$C,$A8,'GL Detail'!$A:$A,C$4)</f>
        <v>1240099.98</v>
      </c>
      <c r="D8" s="4">
        <f>SUMIFS('GL Detail'!$E:$E,'GL Detail'!$C:$C,$A8,'GL Detail'!$A:$A,D$4)</f>
        <v>805863.29</v>
      </c>
      <c r="E8" s="4">
        <f>SUMIFS('GL Detail'!$E:$E,'GL Detail'!$C:$C,$A8,'GL Detail'!$A:$A,E$4)</f>
        <v>915394.83</v>
      </c>
      <c r="F8" s="4">
        <f>B8*(1+Drivers!$B$5)</f>
        <v>965561.1056000001</v>
      </c>
      <c r="G8" s="4">
        <f>C8*(1+Drivers!$B$5)</f>
        <v>1388911.9776</v>
      </c>
      <c r="H8" s="4">
        <f>SUM(D8:G8)</f>
        <v>4075731.2032000003</v>
      </c>
      <c r="I8" s="5">
        <f>IFERROR((F8+G8)/(B8+C8)-1,"n/a")</f>
        <v>0.1200000000000001</v>
      </c>
    </row>
    <row r="9">
      <c r="A9" s="3" t="inlineStr">
        <is>
          <t>Total Net Sales</t>
        </is>
      </c>
      <c r="B9" s="4">
        <f>SUM(B7:B8)</f>
        <v>3120958.79</v>
      </c>
      <c r="C9" s="4">
        <f>SUM(C7:C8)</f>
        <v>4478086.41</v>
      </c>
      <c r="D9" s="4">
        <f>SUM(D7:D8)</f>
        <v>2955405.21</v>
      </c>
      <c r="E9" s="4">
        <f>SUM(E7:E8)</f>
        <v>3375454.7600000002</v>
      </c>
      <c r="F9" s="4">
        <f>SUM(F7:F8)</f>
        <v>3314765.7920000004</v>
      </c>
      <c r="G9" s="4">
        <f>SUM(G7:G8)</f>
        <v>4756417.864800001</v>
      </c>
      <c r="H9" s="4">
        <f>SUM(D9:G9)</f>
        <v>14402043.6268</v>
      </c>
      <c r="I9" s="5">
        <f>IFERROR((F9+G9)/(B9+C9)-1,"n/a")</f>
        <v>0.062131286809558706</v>
      </c>
    </row>
    <row r="11">
      <c r="A11" s="3" t="inlineStr">
        <is>
          <t>COGS</t>
        </is>
      </c>
    </row>
    <row r="12">
      <c r="A12" t="inlineStr">
        <is>
          <t>Merchandise Cost</t>
        </is>
      </c>
      <c r="B12" s="4">
        <f>SUMIFS('GL Detail'!$E:$E,'GL Detail'!$C:$C,$A12,'GL Detail'!$A:$A,B$4)</f>
        <v>1915539.38</v>
      </c>
      <c r="C12" s="4">
        <f>SUMIFS('GL Detail'!$E:$E,'GL Detail'!$C:$C,$A12,'GL Detail'!$A:$A,C$4)</f>
        <v>2752143.23</v>
      </c>
      <c r="D12" s="4">
        <f>SUMIFS('GL Detail'!$E:$E,'GL Detail'!$C:$C,$A12,'GL Detail'!$A:$A,D$4)</f>
        <v>1815876.15</v>
      </c>
      <c r="E12" s="4">
        <f>SUMIFS('GL Detail'!$E:$E,'GL Detail'!$C:$C,$A12,'GL Detail'!$A:$A,E$4)</f>
        <v>2074631.47</v>
      </c>
      <c r="F12" s="4">
        <f>F9*Drivers!$B$6</f>
        <v>2038580.9620800002</v>
      </c>
      <c r="G12" s="4">
        <f>G9*Drivers!$B$6</f>
        <v>2925196.9868520005</v>
      </c>
      <c r="H12" s="4">
        <f>SUM(D12:G12)</f>
        <v>8854285.568932</v>
      </c>
      <c r="I12" s="5">
        <f>IFERROR((F12+G12)/(B12+C12)-1,"n/a")</f>
        <v>0.06343519122265273</v>
      </c>
    </row>
    <row r="13">
      <c r="A13" t="inlineStr">
        <is>
          <t>Shrink</t>
        </is>
      </c>
      <c r="B13" s="4">
        <f>SUMIFS('GL Detail'!$E:$E,'GL Detail'!$C:$C,$A13,'GL Detail'!$A:$A,B$4)</f>
        <v>43683.75</v>
      </c>
      <c r="C13" s="4">
        <f>SUMIFS('GL Detail'!$E:$E,'GL Detail'!$C:$C,$A13,'GL Detail'!$A:$A,C$4)</f>
        <v>62936.8</v>
      </c>
      <c r="D13" s="4">
        <f>SUMIFS('GL Detail'!$E:$E,'GL Detail'!$C:$C,$A13,'GL Detail'!$A:$A,D$4)</f>
        <v>41472.07</v>
      </c>
      <c r="E13" s="4">
        <f>SUMIFS('GL Detail'!$E:$E,'GL Detail'!$C:$C,$A13,'GL Detail'!$A:$A,E$4)</f>
        <v>47241.65</v>
      </c>
      <c r="F13" s="4">
        <f>F9*Drivers!$B$7</f>
        <v>46406.721088000006</v>
      </c>
      <c r="G13" s="4">
        <f>G9*Drivers!$B$7</f>
        <v>66589.8501072</v>
      </c>
      <c r="H13" s="4">
        <f>SUM(D13:G13)</f>
        <v>201710.2911952</v>
      </c>
      <c r="I13" s="5">
        <f>IFERROR((F13+G13)/(B13+C13)-1,"n/a")</f>
        <v>0.05980105331664487</v>
      </c>
    </row>
    <row r="14">
      <c r="A14" s="3" t="inlineStr">
        <is>
          <t>Total COGS</t>
        </is>
      </c>
      <c r="B14" s="4">
        <f>SUM(B12:B13)</f>
        <v>1959223.13</v>
      </c>
      <c r="C14" s="4">
        <f>SUM(C12:C13)</f>
        <v>2815080.03</v>
      </c>
      <c r="D14" s="4">
        <f>SUM(D12:D13)</f>
        <v>1857348.22</v>
      </c>
      <c r="E14" s="4">
        <f>SUM(E12:E13)</f>
        <v>2121873.12</v>
      </c>
      <c r="F14" s="4">
        <f>SUM(F12:F13)</f>
        <v>2084987.6831680003</v>
      </c>
      <c r="G14" s="4">
        <f>SUM(G12:G13)</f>
        <v>2991786.8369592004</v>
      </c>
      <c r="H14" s="4">
        <f>SUM(D14:G14)</f>
        <v>9055995.860127201</v>
      </c>
      <c r="I14" s="5">
        <f>IFERROR((F14+G14)/(B14+C14)-1,"n/a")</f>
        <v>0.0633540330369804</v>
      </c>
    </row>
    <row r="15">
      <c r="A15" s="3" t="inlineStr">
        <is>
          <t>Gross Margin</t>
        </is>
      </c>
      <c r="B15" s="4">
        <f>B9-B14</f>
        <v>1161735.6600000001</v>
      </c>
      <c r="C15" s="4">
        <f>C9-C14</f>
        <v>1663006.3800000004</v>
      </c>
      <c r="D15" s="4">
        <f>D9-D14</f>
        <v>1098056.99</v>
      </c>
      <c r="E15" s="4">
        <f>E9-E14</f>
        <v>1253581.6400000001</v>
      </c>
      <c r="F15" s="4">
        <f>F9-F14</f>
        <v>1229778.108832</v>
      </c>
      <c r="G15" s="4">
        <f>G9-G14</f>
        <v>1764631.0278408001</v>
      </c>
      <c r="H15" s="4">
        <f>SUM(D15:G15)</f>
        <v>5346047.7666728</v>
      </c>
      <c r="I15" s="5">
        <f>IFERROR((F15+G15)/(B15+C15)-1,"n/a")</f>
        <v>0.060064633963106795</v>
      </c>
    </row>
    <row r="17">
      <c r="A17" s="3" t="inlineStr">
        <is>
          <t>SG&amp;A</t>
        </is>
      </c>
    </row>
    <row r="18">
      <c r="A18" t="inlineStr">
        <is>
          <t>Store Payroll</t>
        </is>
      </c>
      <c r="B18" s="4">
        <f>SUMIFS('GL Detail'!$E:$E,'GL Detail'!$C:$C,$A18,'GL Detail'!$A:$A,B$4)</f>
        <v>499952.81</v>
      </c>
      <c r="C18" s="4">
        <f>SUMIFS('GL Detail'!$E:$E,'GL Detail'!$C:$C,$A18,'GL Detail'!$A:$A,C$4)</f>
        <v>713549.69</v>
      </c>
      <c r="D18" s="4">
        <f>SUMIFS('GL Detail'!$E:$E,'GL Detail'!$C:$C,$A18,'GL Detail'!$A:$A,D$4)</f>
        <v>480072.26</v>
      </c>
      <c r="E18" s="4">
        <f>SUMIFS('GL Detail'!$E:$E,'GL Detail'!$C:$C,$A18,'GL Detail'!$A:$A,E$4)</f>
        <v>518083.94</v>
      </c>
      <c r="F18" s="4">
        <f>E18+E18*Drivers!$B$8</f>
        <v>528445.6188</v>
      </c>
      <c r="G18" s="4">
        <f>F18+F18*Drivers!$B$8</f>
        <v>539014.531176</v>
      </c>
      <c r="H18" s="4">
        <f>SUM(D18:G18)</f>
        <v>2065616.3499760001</v>
      </c>
      <c r="I18" s="5">
        <f>IFERROR((F18+G18)/(B18+C18)-1,"n/a")</f>
        <v>-0.12034779493573344</v>
      </c>
    </row>
    <row r="19">
      <c r="A19" t="inlineStr">
        <is>
          <t>Marketing</t>
        </is>
      </c>
      <c r="B19" s="4">
        <f>SUMIFS('GL Detail'!$E:$E,'GL Detail'!$C:$C,$A19,'GL Detail'!$A:$A,B$4)</f>
        <v>266791.15</v>
      </c>
      <c r="C19" s="4">
        <f>SUMIFS('GL Detail'!$E:$E,'GL Detail'!$C:$C,$A19,'GL Detail'!$A:$A,C$4)</f>
        <v>375739.25</v>
      </c>
      <c r="D19" s="4">
        <f>SUMIFS('GL Detail'!$E:$E,'GL Detail'!$C:$C,$A19,'GL Detail'!$A:$A,D$4)</f>
        <v>256728.45</v>
      </c>
      <c r="E19" s="4">
        <f>SUMIFS('GL Detail'!$E:$E,'GL Detail'!$C:$C,$A19,'GL Detail'!$A:$A,E$4)</f>
        <v>276520.61</v>
      </c>
      <c r="F19" t="n">
        <v>165000</v>
      </c>
      <c r="G19" t="n">
        <v>240000</v>
      </c>
      <c r="H19" s="4">
        <f>SUM(D19:G19)</f>
        <v>938249.06</v>
      </c>
      <c r="I19" s="5">
        <f>IFERROR((F19+G19)/(B19+C19)-1,"n/a")</f>
        <v>-0.36967962916618424</v>
      </c>
    </row>
    <row r="20">
      <c r="A20" t="inlineStr">
        <is>
          <t>Occupancy</t>
        </is>
      </c>
      <c r="B20" s="4">
        <f>SUMIFS('GL Detail'!$E:$E,'GL Detail'!$C:$C,$A20,'GL Detail'!$A:$A,B$4)</f>
        <v>210000</v>
      </c>
      <c r="C20" s="4">
        <f>SUMIFS('GL Detail'!$E:$E,'GL Detail'!$C:$C,$A20,'GL Detail'!$A:$A,C$4)</f>
        <v>210000</v>
      </c>
      <c r="D20" s="4">
        <f>SUMIFS('GL Detail'!$E:$E,'GL Detail'!$C:$C,$A20,'GL Detail'!$A:$A,D$4)</f>
        <v>210000</v>
      </c>
      <c r="E20" s="4">
        <f>SUMIFS('GL Detail'!$E:$E,'GL Detail'!$C:$C,$A20,'GL Detail'!$A:$A,E$4)</f>
        <v>210000</v>
      </c>
      <c r="F20" s="4">
        <f>E20</f>
        <v>210000</v>
      </c>
      <c r="G20" s="4">
        <f>F20</f>
        <v>210000</v>
      </c>
      <c r="H20" s="4">
        <f>SUM(D20:G20)</f>
        <v>840000</v>
      </c>
      <c r="I20" s="5">
        <f>IFERROR((F20+G20)/(B20+C20)-1,"n/a")</f>
        <v>0</v>
      </c>
    </row>
    <row r="21">
      <c r="A21" t="inlineStr">
        <is>
          <t>Corporate Overhead Allocation</t>
        </is>
      </c>
      <c r="B21" s="4">
        <f>0</f>
        <v>0</v>
      </c>
      <c r="C21" s="4">
        <f>0</f>
        <v>0</v>
      </c>
      <c r="D21" s="4">
        <f>0</f>
        <v>0</v>
      </c>
      <c r="E21" s="4">
        <f>0</f>
        <v>0</v>
      </c>
      <c r="F21" s="4">
        <f>'[FY26 Corporate Allocations.xlsx]Alloc'!$C$4</f>
        <v>61000</v>
      </c>
      <c r="G21" s="4">
        <f>'[FY26 Corporate Allocations.xlsx]Alloc'!$D$4</f>
        <v>64000</v>
      </c>
      <c r="H21" s="4">
        <f>SUM(D21:G21)</f>
        <v>125000</v>
      </c>
      <c r="I21" s="5" t="str">
        <f>IFERROR((F21+G21)/(B21+C21)-1,"n/a")</f>
        <v>n/a</v>
      </c>
    </row>
    <row r="22">
      <c r="A22" s="3" t="inlineStr">
        <is>
          <t>Total SG&amp;A</t>
        </is>
      </c>
      <c r="B22" s="4">
        <f>SUM(B18:B21)</f>
        <v>976743.96</v>
      </c>
      <c r="C22" s="4">
        <f>SUM(C18:C21)</f>
        <v>1299288.94</v>
      </c>
      <c r="D22" s="4">
        <f>SUM(D18:D21)</f>
        <v>946800.71</v>
      </c>
      <c r="E22" s="4">
        <f>SUM(E18:E21)</f>
        <v>1004604.55</v>
      </c>
      <c r="F22" s="4">
        <f>SUM(F18:F21)</f>
        <v>964445.6188</v>
      </c>
      <c r="G22" s="4">
        <f>SUM(G18:G21)</f>
        <v>1053014.531176</v>
      </c>
      <c r="H22" s="4">
        <f>SUM(D22:G22)</f>
        <v>3968865.409976</v>
      </c>
      <c r="I22" s="5">
        <f>IFERROR((F22+G22)/(B22+C22)-1,"n/a")</f>
        <v>-0.11360677168770272</v>
      </c>
    </row>
    <row r="24">
      <c r="A24" s="3" t="inlineStr">
        <is>
          <t>Other Income/Expense</t>
        </is>
      </c>
    </row>
    <row r="25">
      <c r="A25" t="inlineStr">
        <is>
          <t>Interest Income</t>
        </is>
      </c>
      <c r="B25" s="4">
        <f>SUMIFS('GL Detail'!$E:$E,'GL Detail'!$C:$C,$A25,'GL Detail'!$A:$A,B$4)</f>
        <v>-8000</v>
      </c>
      <c r="C25" s="4">
        <f>SUMIFS('GL Detail'!$E:$E,'GL Detail'!$C:$C,$A25,'GL Detail'!$A:$A,C$4)</f>
        <v>-8000</v>
      </c>
      <c r="D25" s="4">
        <f>SUMIFS('GL Detail'!$E:$E,'GL Detail'!$C:$C,$A25,'GL Detail'!$A:$A,D$4)</f>
        <v>-8000</v>
      </c>
      <c r="E25" s="4">
        <f>SUMIFS('GL Detail'!$E:$E,'GL Detail'!$C:$C,$A25,'GL Detail'!$A:$A,E$4)</f>
        <v>-8000</v>
      </c>
      <c r="F25" t="n">
        <v>-2500</v>
      </c>
      <c r="G25" t="n">
        <v>-2500</v>
      </c>
      <c r="H25" s="4">
        <f>SUM(D25:G25)</f>
        <v>-21000</v>
      </c>
      <c r="I25" s="5">
        <f>IFERROR((F25+G25)/(B25+C25)-1,"n/a")</f>
        <v>-0.6875</v>
      </c>
    </row>
    <row r="26">
      <c r="A26" t="inlineStr">
        <is>
          <t>Depreciation</t>
        </is>
      </c>
      <c r="B26" s="4">
        <f>SUMIFS('GL Detail'!$E:$E,'GL Detail'!$C:$C,$A26,'GL Detail'!$A:$A,B$4)</f>
        <v>45000</v>
      </c>
      <c r="C26" s="4">
        <f>SUMIFS('GL Detail'!$E:$E,'GL Detail'!$C:$C,$A26,'GL Detail'!$A:$A,C$4)</f>
        <v>45000</v>
      </c>
      <c r="D26" s="4">
        <f>SUMIFS('GL Detail'!$E:$E,'GL Detail'!$C:$C,$A26,'GL Detail'!$A:$A,D$4)</f>
        <v>45000</v>
      </c>
      <c r="E26" s="4">
        <f>SUMIFS('GL Detail'!$E:$E,'GL Detail'!$C:$C,$A26,'GL Detail'!$A:$A,E$4)</f>
        <v>45000</v>
      </c>
      <c r="F26" s="4">
        <f>E26</f>
        <v>45000</v>
      </c>
      <c r="G26" s="4">
        <f>F26</f>
        <v>45000</v>
      </c>
      <c r="H26" s="4">
        <f>SUM(D26:G26)</f>
        <v>180000</v>
      </c>
      <c r="I26" s="5">
        <f>IFERROR((F26+G26)/(B26+C26)-1,"n/a")</f>
        <v>0</v>
      </c>
    </row>
    <row r="27">
      <c r="A27" s="3" t="inlineStr">
        <is>
          <t>Total Other Income/Expense</t>
        </is>
      </c>
      <c r="B27" s="4">
        <f>SUM(B25:B26)</f>
        <v>37000</v>
      </c>
      <c r="C27" s="4">
        <f>SUM(C25:C26)</f>
        <v>37000</v>
      </c>
      <c r="D27" s="4">
        <f>SUM(D25:D26)</f>
        <v>37000</v>
      </c>
      <c r="E27" s="4">
        <f>SUM(E25:E26)</f>
        <v>37000</v>
      </c>
      <c r="F27" s="4">
        <f>SUM(F25:F26)</f>
        <v>42500</v>
      </c>
      <c r="G27" s="4">
        <f>SUM(G25:G26)</f>
        <v>42500</v>
      </c>
      <c r="H27" s="4">
        <f>SUM(D27:G27)</f>
        <v>159000</v>
      </c>
      <c r="I27" s="5">
        <f>IFERROR((F27+G27)/(B27+C27)-1,"n/a")</f>
        <v>0.14864864864864868</v>
      </c>
    </row>
    <row r="29">
      <c r="A29" s="3" t="inlineStr">
        <is>
          <t>Operating Profit</t>
        </is>
      </c>
      <c r="B29" s="4">
        <f>B15-B22</f>
        <v>184991.7000000002</v>
      </c>
      <c r="C29" s="4">
        <f>C15-C22</f>
        <v>363717.4400000004</v>
      </c>
      <c r="D29" s="4">
        <f>D15-D22</f>
        <v>151256.28000000003</v>
      </c>
      <c r="E29" s="4">
        <f>E15-E22</f>
        <v>248977.09000000008</v>
      </c>
      <c r="F29" s="4">
        <f>F15-F22</f>
        <v>265332.490032</v>
      </c>
      <c r="G29" s="4">
        <f>G15-G22</f>
        <v>711616.4966648002</v>
      </c>
      <c r="H29" s="4">
        <f>SUM(D29:G29)</f>
        <v>1377182.3566968003</v>
      </c>
      <c r="I29" s="5">
        <f>IFERROR((F29+G29)/(B29+C29)-1,"n/a")</f>
        <v>0.7804496325627073</v>
      </c>
    </row>
    <row r="30">
      <c r="A30" s="3" t="inlineStr">
        <is>
          <t>Pre-tax Income</t>
        </is>
      </c>
      <c r="B30" s="4">
        <f>B29-B27</f>
        <v>147991.7000000002</v>
      </c>
      <c r="C30" s="4">
        <f>C29-C27</f>
        <v>326717.4400000004</v>
      </c>
      <c r="D30" s="4">
        <f>D29-D27</f>
        <v>114256.28000000003</v>
      </c>
      <c r="E30" s="4">
        <f>E29-E27</f>
        <v>211977.09000000008</v>
      </c>
      <c r="F30" s="4">
        <f>F29-F27</f>
        <v>222832.490032</v>
      </c>
      <c r="G30" s="4">
        <f>G29-G27</f>
        <v>669116.4966648002</v>
      </c>
      <c r="H30" s="4">
        <f>SUM(D30:G30)</f>
        <v>1218182.3566968003</v>
      </c>
      <c r="I30" s="5">
        <f>IFERROR((F30+G30)/(B30+C30)-1,"n/a")</f>
        <v>0.8789378833042885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</t>
        </is>
      </c>
      <c r="B1" s="2" t="inlineStr">
        <is>
          <t>Store</t>
        </is>
      </c>
      <c r="C1" s="2" t="inlineStr">
        <is>
          <t>Account</t>
        </is>
      </c>
      <c r="D1" s="2" t="inlineStr">
        <is>
          <t>Account Group</t>
        </is>
      </c>
      <c r="E1" s="2" t="inlineStr">
        <is>
          <t>Amount</t>
        </is>
      </c>
    </row>
    <row r="2">
      <c r="A2" t="inlineStr">
        <is>
          <t>Q3 FY25</t>
        </is>
      </c>
      <c r="B2" t="inlineStr">
        <is>
          <t>Store 101</t>
        </is>
      </c>
      <c r="C2" t="inlineStr">
        <is>
          <t>In-Store Sales</t>
        </is>
      </c>
      <c r="D2" t="inlineStr">
        <is>
          <t>Net Sales</t>
        </is>
      </c>
      <c r="E2" t="n">
        <v>744068.25</v>
      </c>
    </row>
    <row r="3">
      <c r="A3" t="inlineStr">
        <is>
          <t>Q3 FY25</t>
        </is>
      </c>
      <c r="B3" t="inlineStr">
        <is>
          <t>Store 102</t>
        </is>
      </c>
      <c r="C3" t="inlineStr">
        <is>
          <t>In-Store Sales</t>
        </is>
      </c>
      <c r="D3" t="inlineStr">
        <is>
          <t>Net Sales</t>
        </is>
      </c>
      <c r="E3" t="n">
        <v>762689.14</v>
      </c>
    </row>
    <row r="4">
      <c r="A4" t="inlineStr">
        <is>
          <t>Q3 FY25</t>
        </is>
      </c>
      <c r="B4" t="inlineStr">
        <is>
          <t>Store 205</t>
        </is>
      </c>
      <c r="C4" t="inlineStr">
        <is>
          <t>In-Store Sales</t>
        </is>
      </c>
      <c r="D4" t="inlineStr">
        <is>
          <t>Net Sales</t>
        </is>
      </c>
      <c r="E4" t="n">
        <v>752093.27</v>
      </c>
    </row>
    <row r="5">
      <c r="A5" t="inlineStr">
        <is>
          <t>Q3 FY25</t>
        </is>
      </c>
      <c r="B5" t="inlineStr">
        <is>
          <t>Online</t>
        </is>
      </c>
      <c r="C5" t="inlineStr">
        <is>
          <t>E-Commerce Sales</t>
        </is>
      </c>
      <c r="D5" t="inlineStr">
        <is>
          <t>Net Sales</t>
        </is>
      </c>
      <c r="E5" t="n">
        <v>862108.13</v>
      </c>
    </row>
    <row r="6">
      <c r="A6" t="inlineStr">
        <is>
          <t>Q3 FY25</t>
        </is>
      </c>
      <c r="B6" t="inlineStr">
        <is>
          <t>Store 101</t>
        </is>
      </c>
      <c r="C6" t="inlineStr">
        <is>
          <t>Merchandise Cost</t>
        </is>
      </c>
      <c r="D6" t="inlineStr">
        <is>
          <t>COGS</t>
        </is>
      </c>
      <c r="E6" t="n">
        <v>458752.57</v>
      </c>
    </row>
    <row r="7">
      <c r="A7" t="inlineStr">
        <is>
          <t>Q3 FY25</t>
        </is>
      </c>
      <c r="B7" t="inlineStr">
        <is>
          <t>Store 102</t>
        </is>
      </c>
      <c r="C7" t="inlineStr">
        <is>
          <t>Merchandise Cost</t>
        </is>
      </c>
      <c r="D7" t="inlineStr">
        <is>
          <t>COGS</t>
        </is>
      </c>
      <c r="E7" t="n">
        <v>464978.01</v>
      </c>
    </row>
    <row r="8">
      <c r="A8" t="inlineStr">
        <is>
          <t>Q3 FY25</t>
        </is>
      </c>
      <c r="B8" t="inlineStr">
        <is>
          <t>Store 205</t>
        </is>
      </c>
      <c r="C8" t="inlineStr">
        <is>
          <t>Merchandise Cost</t>
        </is>
      </c>
      <c r="D8" t="inlineStr">
        <is>
          <t>COGS</t>
        </is>
      </c>
      <c r="E8" t="n">
        <v>458033.8</v>
      </c>
    </row>
    <row r="9">
      <c r="A9" t="inlineStr">
        <is>
          <t>Q3 FY25</t>
        </is>
      </c>
      <c r="B9" t="inlineStr">
        <is>
          <t>Online</t>
        </is>
      </c>
      <c r="C9" t="inlineStr">
        <is>
          <t>Merchandise Cost</t>
        </is>
      </c>
      <c r="D9" t="inlineStr">
        <is>
          <t>COGS</t>
        </is>
      </c>
      <c r="E9" t="n">
        <v>533775</v>
      </c>
    </row>
    <row r="10">
      <c r="A10" t="inlineStr">
        <is>
          <t>Q3 FY25</t>
        </is>
      </c>
      <c r="B10" t="inlineStr">
        <is>
          <t>Store 101</t>
        </is>
      </c>
      <c r="C10" t="inlineStr">
        <is>
          <t>Shrink</t>
        </is>
      </c>
      <c r="D10" t="inlineStr">
        <is>
          <t>COGS</t>
        </is>
      </c>
      <c r="E10" t="n">
        <v>10366.82</v>
      </c>
    </row>
    <row r="11">
      <c r="A11" t="inlineStr">
        <is>
          <t>Q3 FY25</t>
        </is>
      </c>
      <c r="B11" t="inlineStr">
        <is>
          <t>Store 102</t>
        </is>
      </c>
      <c r="C11" t="inlineStr">
        <is>
          <t>Shrink</t>
        </is>
      </c>
      <c r="D11" t="inlineStr">
        <is>
          <t>COGS</t>
        </is>
      </c>
      <c r="E11" t="n">
        <v>10620.91</v>
      </c>
    </row>
    <row r="12">
      <c r="A12" t="inlineStr">
        <is>
          <t>Q3 FY25</t>
        </is>
      </c>
      <c r="B12" t="inlineStr">
        <is>
          <t>Store 205</t>
        </is>
      </c>
      <c r="C12" t="inlineStr">
        <is>
          <t>Shrink</t>
        </is>
      </c>
      <c r="D12" t="inlineStr">
        <is>
          <t>COGS</t>
        </is>
      </c>
      <c r="E12" t="n">
        <v>10633.68</v>
      </c>
    </row>
    <row r="13">
      <c r="A13" t="inlineStr">
        <is>
          <t>Q3 FY25</t>
        </is>
      </c>
      <c r="B13" t="inlineStr">
        <is>
          <t>Online</t>
        </is>
      </c>
      <c r="C13" t="inlineStr">
        <is>
          <t>Shrink</t>
        </is>
      </c>
      <c r="D13" t="inlineStr">
        <is>
          <t>COGS</t>
        </is>
      </c>
      <c r="E13" t="n">
        <v>12062.34</v>
      </c>
    </row>
    <row r="14">
      <c r="A14" t="inlineStr">
        <is>
          <t>Q3 FY25</t>
        </is>
      </c>
      <c r="B14" t="inlineStr">
        <is>
          <t>Store 101</t>
        </is>
      </c>
      <c r="C14" t="inlineStr">
        <is>
          <t>Store Payroll</t>
        </is>
      </c>
      <c r="D14" t="inlineStr">
        <is>
          <t>SG&amp;A</t>
        </is>
      </c>
      <c r="E14" t="n">
        <v>169098.99</v>
      </c>
    </row>
    <row r="15">
      <c r="A15" t="inlineStr">
        <is>
          <t>Q3 FY25</t>
        </is>
      </c>
      <c r="B15" t="inlineStr">
        <is>
          <t>Store 102</t>
        </is>
      </c>
      <c r="C15" t="inlineStr">
        <is>
          <t>Store Payroll</t>
        </is>
      </c>
      <c r="D15" t="inlineStr">
        <is>
          <t>SG&amp;A</t>
        </is>
      </c>
      <c r="E15" t="n">
        <v>164355.16</v>
      </c>
    </row>
    <row r="16">
      <c r="A16" t="inlineStr">
        <is>
          <t>Q3 FY25</t>
        </is>
      </c>
      <c r="B16" t="inlineStr">
        <is>
          <t>Store 205</t>
        </is>
      </c>
      <c r="C16" t="inlineStr">
        <is>
          <t>Store Payroll</t>
        </is>
      </c>
      <c r="D16" t="inlineStr">
        <is>
          <t>SG&amp;A</t>
        </is>
      </c>
      <c r="E16" t="n">
        <v>166498.66</v>
      </c>
    </row>
    <row r="17">
      <c r="A17" t="inlineStr">
        <is>
          <t>Q3 FY25</t>
        </is>
      </c>
      <c r="B17" t="inlineStr">
        <is>
          <t>Store 101</t>
        </is>
      </c>
      <c r="C17" t="inlineStr">
        <is>
          <t>Marketing</t>
        </is>
      </c>
      <c r="D17" t="inlineStr">
        <is>
          <t>SG&amp;A</t>
        </is>
      </c>
      <c r="E17" t="n">
        <v>43094.19</v>
      </c>
    </row>
    <row r="18">
      <c r="A18" t="inlineStr">
        <is>
          <t>Q3 FY25</t>
        </is>
      </c>
      <c r="B18" t="inlineStr">
        <is>
          <t>Store 102</t>
        </is>
      </c>
      <c r="C18" t="inlineStr">
        <is>
          <t>Marketing</t>
        </is>
      </c>
      <c r="D18" t="inlineStr">
        <is>
          <t>SG&amp;A</t>
        </is>
      </c>
      <c r="E18" t="n">
        <v>44811.64</v>
      </c>
    </row>
    <row r="19">
      <c r="A19" t="inlineStr">
        <is>
          <t>Q3 FY25</t>
        </is>
      </c>
      <c r="B19" t="inlineStr">
        <is>
          <t>Store 205</t>
        </is>
      </c>
      <c r="C19" t="inlineStr">
        <is>
          <t>Marketing</t>
        </is>
      </c>
      <c r="D19" t="inlineStr">
        <is>
          <t>SG&amp;A</t>
        </is>
      </c>
      <c r="E19" t="n">
        <v>45638.67</v>
      </c>
    </row>
    <row r="20">
      <c r="A20" t="inlineStr">
        <is>
          <t>Q3 FY25</t>
        </is>
      </c>
      <c r="B20" t="inlineStr">
        <is>
          <t>Online</t>
        </is>
      </c>
      <c r="C20" t="inlineStr">
        <is>
          <t>Marketing</t>
        </is>
      </c>
      <c r="D20" t="inlineStr">
        <is>
          <t>SG&amp;A</t>
        </is>
      </c>
      <c r="E20" t="n">
        <v>133246.65</v>
      </c>
    </row>
    <row r="21">
      <c r="A21" t="inlineStr">
        <is>
          <t>Q3 FY25</t>
        </is>
      </c>
      <c r="B21" t="inlineStr">
        <is>
          <t>Store 101</t>
        </is>
      </c>
      <c r="C21" t="inlineStr">
        <is>
          <t>Occupancy</t>
        </is>
      </c>
      <c r="D21" t="inlineStr">
        <is>
          <t>SG&amp;A</t>
        </is>
      </c>
      <c r="E21" t="n">
        <v>52500</v>
      </c>
    </row>
    <row r="22">
      <c r="A22" t="inlineStr">
        <is>
          <t>Q3 FY25</t>
        </is>
      </c>
      <c r="B22" t="inlineStr">
        <is>
          <t>Store 102</t>
        </is>
      </c>
      <c r="C22" t="inlineStr">
        <is>
          <t>Occupancy</t>
        </is>
      </c>
      <c r="D22" t="inlineStr">
        <is>
          <t>SG&amp;A</t>
        </is>
      </c>
      <c r="E22" t="n">
        <v>52500</v>
      </c>
    </row>
    <row r="23">
      <c r="A23" t="inlineStr">
        <is>
          <t>Q3 FY25</t>
        </is>
      </c>
      <c r="B23" t="inlineStr">
        <is>
          <t>Store 205</t>
        </is>
      </c>
      <c r="C23" t="inlineStr">
        <is>
          <t>Occupancy</t>
        </is>
      </c>
      <c r="D23" t="inlineStr">
        <is>
          <t>SG&amp;A</t>
        </is>
      </c>
      <c r="E23" t="n">
        <v>52500</v>
      </c>
    </row>
    <row r="24">
      <c r="A24" t="inlineStr">
        <is>
          <t>Q3 FY25</t>
        </is>
      </c>
      <c r="B24" t="inlineStr">
        <is>
          <t>Online</t>
        </is>
      </c>
      <c r="C24" t="inlineStr">
        <is>
          <t>Occupancy</t>
        </is>
      </c>
      <c r="D24" t="inlineStr">
        <is>
          <t>SG&amp;A</t>
        </is>
      </c>
      <c r="E24" t="n">
        <v>52500</v>
      </c>
    </row>
    <row r="25">
      <c r="A25" t="inlineStr">
        <is>
          <t>Q3 FY25</t>
        </is>
      </c>
      <c r="B25" t="inlineStr">
        <is>
          <t>Store 101</t>
        </is>
      </c>
      <c r="C25" t="inlineStr">
        <is>
          <t>Interest Income</t>
        </is>
      </c>
      <c r="D25" t="inlineStr">
        <is>
          <t>Other Income/Expense</t>
        </is>
      </c>
      <c r="E25" t="n">
        <v>-2000</v>
      </c>
    </row>
    <row r="26">
      <c r="A26" t="inlineStr">
        <is>
          <t>Q3 FY25</t>
        </is>
      </c>
      <c r="B26" t="inlineStr">
        <is>
          <t>Store 102</t>
        </is>
      </c>
      <c r="C26" t="inlineStr">
        <is>
          <t>Interest Income</t>
        </is>
      </c>
      <c r="D26" t="inlineStr">
        <is>
          <t>Other Income/Expense</t>
        </is>
      </c>
      <c r="E26" t="n">
        <v>-2000</v>
      </c>
    </row>
    <row r="27">
      <c r="A27" t="inlineStr">
        <is>
          <t>Q3 FY25</t>
        </is>
      </c>
      <c r="B27" t="inlineStr">
        <is>
          <t>Store 205</t>
        </is>
      </c>
      <c r="C27" t="inlineStr">
        <is>
          <t>Interest Income</t>
        </is>
      </c>
      <c r="D27" t="inlineStr">
        <is>
          <t>Other Income/Expense</t>
        </is>
      </c>
      <c r="E27" t="n">
        <v>-2000</v>
      </c>
    </row>
    <row r="28">
      <c r="A28" t="inlineStr">
        <is>
          <t>Q3 FY25</t>
        </is>
      </c>
      <c r="B28" t="inlineStr">
        <is>
          <t>Online</t>
        </is>
      </c>
      <c r="C28" t="inlineStr">
        <is>
          <t>Interest Income</t>
        </is>
      </c>
      <c r="D28" t="inlineStr">
        <is>
          <t>Other Income/Expense</t>
        </is>
      </c>
      <c r="E28" t="n">
        <v>-2000</v>
      </c>
    </row>
    <row r="29">
      <c r="A29" t="inlineStr">
        <is>
          <t>Q3 FY25</t>
        </is>
      </c>
      <c r="B29" t="inlineStr">
        <is>
          <t>Store 101</t>
        </is>
      </c>
      <c r="C29" t="inlineStr">
        <is>
          <t>Depreciation</t>
        </is>
      </c>
      <c r="D29" t="inlineStr">
        <is>
          <t>Other Income/Expense</t>
        </is>
      </c>
      <c r="E29" t="n">
        <v>11250</v>
      </c>
    </row>
    <row r="30">
      <c r="A30" t="inlineStr">
        <is>
          <t>Q3 FY25</t>
        </is>
      </c>
      <c r="B30" t="inlineStr">
        <is>
          <t>Store 102</t>
        </is>
      </c>
      <c r="C30" t="inlineStr">
        <is>
          <t>Depreciation</t>
        </is>
      </c>
      <c r="D30" t="inlineStr">
        <is>
          <t>Other Income/Expense</t>
        </is>
      </c>
      <c r="E30" t="n">
        <v>11250</v>
      </c>
    </row>
    <row r="31">
      <c r="A31" t="inlineStr">
        <is>
          <t>Q3 FY25</t>
        </is>
      </c>
      <c r="B31" t="inlineStr">
        <is>
          <t>Store 205</t>
        </is>
      </c>
      <c r="C31" t="inlineStr">
        <is>
          <t>Depreciation</t>
        </is>
      </c>
      <c r="D31" t="inlineStr">
        <is>
          <t>Other Income/Expense</t>
        </is>
      </c>
      <c r="E31" t="n">
        <v>11250</v>
      </c>
    </row>
    <row r="32">
      <c r="A32" t="inlineStr">
        <is>
          <t>Q3 FY25</t>
        </is>
      </c>
      <c r="B32" t="inlineStr">
        <is>
          <t>Online</t>
        </is>
      </c>
      <c r="C32" t="inlineStr">
        <is>
          <t>Depreciation</t>
        </is>
      </c>
      <c r="D32" t="inlineStr">
        <is>
          <t>Other Income/Expense</t>
        </is>
      </c>
      <c r="E32" t="n">
        <v>11250</v>
      </c>
    </row>
    <row r="33">
      <c r="A33" t="inlineStr">
        <is>
          <t>Q4 FY25</t>
        </is>
      </c>
      <c r="B33" t="inlineStr">
        <is>
          <t>Store 101</t>
        </is>
      </c>
      <c r="C33" t="inlineStr">
        <is>
          <t>In-Store Sales</t>
        </is>
      </c>
      <c r="D33" t="inlineStr">
        <is>
          <t>Net Sales</t>
        </is>
      </c>
      <c r="E33" t="n">
        <v>1100844.16</v>
      </c>
    </row>
    <row r="34">
      <c r="A34" t="inlineStr">
        <is>
          <t>Q4 FY25</t>
        </is>
      </c>
      <c r="B34" t="inlineStr">
        <is>
          <t>Store 102</t>
        </is>
      </c>
      <c r="C34" t="inlineStr">
        <is>
          <t>In-Store Sales</t>
        </is>
      </c>
      <c r="D34" t="inlineStr">
        <is>
          <t>Net Sales</t>
        </is>
      </c>
      <c r="E34" t="n">
        <v>1094809.95</v>
      </c>
    </row>
    <row r="35">
      <c r="A35" t="inlineStr">
        <is>
          <t>Q4 FY25</t>
        </is>
      </c>
      <c r="B35" t="inlineStr">
        <is>
          <t>Store 205</t>
        </is>
      </c>
      <c r="C35" t="inlineStr">
        <is>
          <t>In-Store Sales</t>
        </is>
      </c>
      <c r="D35" t="inlineStr">
        <is>
          <t>Net Sales</t>
        </is>
      </c>
      <c r="E35" t="n">
        <v>1042332.32</v>
      </c>
    </row>
    <row r="36">
      <c r="A36" t="inlineStr">
        <is>
          <t>Q4 FY25</t>
        </is>
      </c>
      <c r="B36" t="inlineStr">
        <is>
          <t>Online</t>
        </is>
      </c>
      <c r="C36" t="inlineStr">
        <is>
          <t>E-Commerce Sales</t>
        </is>
      </c>
      <c r="D36" t="inlineStr">
        <is>
          <t>Net Sales</t>
        </is>
      </c>
      <c r="E36" t="n">
        <v>1240099.98</v>
      </c>
    </row>
    <row r="37">
      <c r="A37" t="inlineStr">
        <is>
          <t>Q4 FY25</t>
        </is>
      </c>
      <c r="B37" t="inlineStr">
        <is>
          <t>Store 101</t>
        </is>
      </c>
      <c r="C37" t="inlineStr">
        <is>
          <t>Merchandise Cost</t>
        </is>
      </c>
      <c r="D37" t="inlineStr">
        <is>
          <t>COGS</t>
        </is>
      </c>
      <c r="E37" t="n">
        <v>678252.6800000001</v>
      </c>
    </row>
    <row r="38">
      <c r="A38" t="inlineStr">
        <is>
          <t>Q4 FY25</t>
        </is>
      </c>
      <c r="B38" t="inlineStr">
        <is>
          <t>Store 102</t>
        </is>
      </c>
      <c r="C38" t="inlineStr">
        <is>
          <t>Merchandise Cost</t>
        </is>
      </c>
      <c r="D38" t="inlineStr">
        <is>
          <t>COGS</t>
        </is>
      </c>
      <c r="E38" t="n">
        <v>670631.96</v>
      </c>
    </row>
    <row r="39">
      <c r="A39" t="inlineStr">
        <is>
          <t>Q4 FY25</t>
        </is>
      </c>
      <c r="B39" t="inlineStr">
        <is>
          <t>Store 205</t>
        </is>
      </c>
      <c r="C39" t="inlineStr">
        <is>
          <t>Merchandise Cost</t>
        </is>
      </c>
      <c r="D39" t="inlineStr">
        <is>
          <t>COGS</t>
        </is>
      </c>
      <c r="E39" t="n">
        <v>635021.63</v>
      </c>
    </row>
    <row r="40">
      <c r="A40" t="inlineStr">
        <is>
          <t>Q4 FY25</t>
        </is>
      </c>
      <c r="B40" t="inlineStr">
        <is>
          <t>Online</t>
        </is>
      </c>
      <c r="C40" t="inlineStr">
        <is>
          <t>Merchandise Cost</t>
        </is>
      </c>
      <c r="D40" t="inlineStr">
        <is>
          <t>COGS</t>
        </is>
      </c>
      <c r="E40" t="n">
        <v>768236.96</v>
      </c>
    </row>
    <row r="41">
      <c r="A41" t="inlineStr">
        <is>
          <t>Q4 FY25</t>
        </is>
      </c>
      <c r="B41" t="inlineStr">
        <is>
          <t>Store 101</t>
        </is>
      </c>
      <c r="C41" t="inlineStr">
        <is>
          <t>Shrink</t>
        </is>
      </c>
      <c r="D41" t="inlineStr">
        <is>
          <t>COGS</t>
        </is>
      </c>
      <c r="E41" t="n">
        <v>15403.42</v>
      </c>
    </row>
    <row r="42">
      <c r="A42" t="inlineStr">
        <is>
          <t>Q4 FY25</t>
        </is>
      </c>
      <c r="B42" t="inlineStr">
        <is>
          <t>Store 102</t>
        </is>
      </c>
      <c r="C42" t="inlineStr">
        <is>
          <t>Shrink</t>
        </is>
      </c>
      <c r="D42" t="inlineStr">
        <is>
          <t>COGS</t>
        </is>
      </c>
      <c r="E42" t="n">
        <v>15394.42</v>
      </c>
    </row>
    <row r="43">
      <c r="A43" t="inlineStr">
        <is>
          <t>Q4 FY25</t>
        </is>
      </c>
      <c r="B43" t="inlineStr">
        <is>
          <t>Store 205</t>
        </is>
      </c>
      <c r="C43" t="inlineStr">
        <is>
          <t>Shrink</t>
        </is>
      </c>
      <c r="D43" t="inlineStr">
        <is>
          <t>COGS</t>
        </is>
      </c>
      <c r="E43" t="n">
        <v>14703.21</v>
      </c>
    </row>
    <row r="44">
      <c r="A44" t="inlineStr">
        <is>
          <t>Q4 FY25</t>
        </is>
      </c>
      <c r="B44" t="inlineStr">
        <is>
          <t>Online</t>
        </is>
      </c>
      <c r="C44" t="inlineStr">
        <is>
          <t>Shrink</t>
        </is>
      </c>
      <c r="D44" t="inlineStr">
        <is>
          <t>COGS</t>
        </is>
      </c>
      <c r="E44" t="n">
        <v>17435.75</v>
      </c>
    </row>
    <row r="45">
      <c r="A45" t="inlineStr">
        <is>
          <t>Q4 FY25</t>
        </is>
      </c>
      <c r="B45" t="inlineStr">
        <is>
          <t>Store 101</t>
        </is>
      </c>
      <c r="C45" t="inlineStr">
        <is>
          <t>Store Payroll</t>
        </is>
      </c>
      <c r="D45" t="inlineStr">
        <is>
          <t>SG&amp;A</t>
        </is>
      </c>
      <c r="E45" t="n">
        <v>241882.97</v>
      </c>
    </row>
    <row r="46">
      <c r="A46" t="inlineStr">
        <is>
          <t>Q4 FY25</t>
        </is>
      </c>
      <c r="B46" t="inlineStr">
        <is>
          <t>Store 102</t>
        </is>
      </c>
      <c r="C46" t="inlineStr">
        <is>
          <t>Store Payroll</t>
        </is>
      </c>
      <c r="D46" t="inlineStr">
        <is>
          <t>SG&amp;A</t>
        </is>
      </c>
      <c r="E46" t="n">
        <v>232033.71</v>
      </c>
    </row>
    <row r="47">
      <c r="A47" t="inlineStr">
        <is>
          <t>Q4 FY25</t>
        </is>
      </c>
      <c r="B47" t="inlineStr">
        <is>
          <t>Store 205</t>
        </is>
      </c>
      <c r="C47" t="inlineStr">
        <is>
          <t>Store Payroll</t>
        </is>
      </c>
      <c r="D47" t="inlineStr">
        <is>
          <t>SG&amp;A</t>
        </is>
      </c>
      <c r="E47" t="n">
        <v>239633.01</v>
      </c>
    </row>
    <row r="48">
      <c r="A48" t="inlineStr">
        <is>
          <t>Q4 FY25</t>
        </is>
      </c>
      <c r="B48" t="inlineStr">
        <is>
          <t>Store 101</t>
        </is>
      </c>
      <c r="C48" t="inlineStr">
        <is>
          <t>Marketing</t>
        </is>
      </c>
      <c r="D48" t="inlineStr">
        <is>
          <t>SG&amp;A</t>
        </is>
      </c>
      <c r="E48" t="n">
        <v>62720.89</v>
      </c>
    </row>
    <row r="49">
      <c r="A49" t="inlineStr">
        <is>
          <t>Q4 FY25</t>
        </is>
      </c>
      <c r="B49" t="inlineStr">
        <is>
          <t>Store 102</t>
        </is>
      </c>
      <c r="C49" t="inlineStr">
        <is>
          <t>Marketing</t>
        </is>
      </c>
      <c r="D49" t="inlineStr">
        <is>
          <t>SG&amp;A</t>
        </is>
      </c>
      <c r="E49" t="n">
        <v>65195.36</v>
      </c>
    </row>
    <row r="50">
      <c r="A50" t="inlineStr">
        <is>
          <t>Q4 FY25</t>
        </is>
      </c>
      <c r="B50" t="inlineStr">
        <is>
          <t>Store 205</t>
        </is>
      </c>
      <c r="C50" t="inlineStr">
        <is>
          <t>Marketing</t>
        </is>
      </c>
      <c r="D50" t="inlineStr">
        <is>
          <t>SG&amp;A</t>
        </is>
      </c>
      <c r="E50" t="n">
        <v>64909.49</v>
      </c>
    </row>
    <row r="51">
      <c r="A51" t="inlineStr">
        <is>
          <t>Q4 FY25</t>
        </is>
      </c>
      <c r="B51" t="inlineStr">
        <is>
          <t>Online</t>
        </is>
      </c>
      <c r="C51" t="inlineStr">
        <is>
          <t>Marketing</t>
        </is>
      </c>
      <c r="D51" t="inlineStr">
        <is>
          <t>SG&amp;A</t>
        </is>
      </c>
      <c r="E51" t="n">
        <v>182913.51</v>
      </c>
    </row>
    <row r="52">
      <c r="A52" t="inlineStr">
        <is>
          <t>Q4 FY25</t>
        </is>
      </c>
      <c r="B52" t="inlineStr">
        <is>
          <t>Store 101</t>
        </is>
      </c>
      <c r="C52" t="inlineStr">
        <is>
          <t>Occupancy</t>
        </is>
      </c>
      <c r="D52" t="inlineStr">
        <is>
          <t>SG&amp;A</t>
        </is>
      </c>
      <c r="E52" t="n">
        <v>52500</v>
      </c>
    </row>
    <row r="53">
      <c r="A53" t="inlineStr">
        <is>
          <t>Q4 FY25</t>
        </is>
      </c>
      <c r="B53" t="inlineStr">
        <is>
          <t>Store 102</t>
        </is>
      </c>
      <c r="C53" t="inlineStr">
        <is>
          <t>Occupancy</t>
        </is>
      </c>
      <c r="D53" t="inlineStr">
        <is>
          <t>SG&amp;A</t>
        </is>
      </c>
      <c r="E53" t="n">
        <v>52500</v>
      </c>
    </row>
    <row r="54">
      <c r="A54" t="inlineStr">
        <is>
          <t>Q4 FY25</t>
        </is>
      </c>
      <c r="B54" t="inlineStr">
        <is>
          <t>Store 205</t>
        </is>
      </c>
      <c r="C54" t="inlineStr">
        <is>
          <t>Occupancy</t>
        </is>
      </c>
      <c r="D54" t="inlineStr">
        <is>
          <t>SG&amp;A</t>
        </is>
      </c>
      <c r="E54" t="n">
        <v>52500</v>
      </c>
    </row>
    <row r="55">
      <c r="A55" t="inlineStr">
        <is>
          <t>Q4 FY25</t>
        </is>
      </c>
      <c r="B55" t="inlineStr">
        <is>
          <t>Online</t>
        </is>
      </c>
      <c r="C55" t="inlineStr">
        <is>
          <t>Occupancy</t>
        </is>
      </c>
      <c r="D55" t="inlineStr">
        <is>
          <t>SG&amp;A</t>
        </is>
      </c>
      <c r="E55" t="n">
        <v>52500</v>
      </c>
    </row>
    <row r="56">
      <c r="A56" t="inlineStr">
        <is>
          <t>Q4 FY25</t>
        </is>
      </c>
      <c r="B56" t="inlineStr">
        <is>
          <t>Store 101</t>
        </is>
      </c>
      <c r="C56" t="inlineStr">
        <is>
          <t>Interest Income</t>
        </is>
      </c>
      <c r="D56" t="inlineStr">
        <is>
          <t>Other Income/Expense</t>
        </is>
      </c>
      <c r="E56" t="n">
        <v>-2000</v>
      </c>
    </row>
    <row r="57">
      <c r="A57" t="inlineStr">
        <is>
          <t>Q4 FY25</t>
        </is>
      </c>
      <c r="B57" t="inlineStr">
        <is>
          <t>Store 102</t>
        </is>
      </c>
      <c r="C57" t="inlineStr">
        <is>
          <t>Interest Income</t>
        </is>
      </c>
      <c r="D57" t="inlineStr">
        <is>
          <t>Other Income/Expense</t>
        </is>
      </c>
      <c r="E57" t="n">
        <v>-2000</v>
      </c>
    </row>
    <row r="58">
      <c r="A58" t="inlineStr">
        <is>
          <t>Q4 FY25</t>
        </is>
      </c>
      <c r="B58" t="inlineStr">
        <is>
          <t>Store 205</t>
        </is>
      </c>
      <c r="C58" t="inlineStr">
        <is>
          <t>Interest Income</t>
        </is>
      </c>
      <c r="D58" t="inlineStr">
        <is>
          <t>Other Income/Expense</t>
        </is>
      </c>
      <c r="E58" t="n">
        <v>-2000</v>
      </c>
    </row>
    <row r="59">
      <c r="A59" t="inlineStr">
        <is>
          <t>Q4 FY25</t>
        </is>
      </c>
      <c r="B59" t="inlineStr">
        <is>
          <t>Online</t>
        </is>
      </c>
      <c r="C59" t="inlineStr">
        <is>
          <t>Interest Income</t>
        </is>
      </c>
      <c r="D59" t="inlineStr">
        <is>
          <t>Other Income/Expense</t>
        </is>
      </c>
      <c r="E59" t="n">
        <v>-2000</v>
      </c>
    </row>
    <row r="60">
      <c r="A60" t="inlineStr">
        <is>
          <t>Q4 FY25</t>
        </is>
      </c>
      <c r="B60" t="inlineStr">
        <is>
          <t>Store 101</t>
        </is>
      </c>
      <c r="C60" t="inlineStr">
        <is>
          <t>Depreciation</t>
        </is>
      </c>
      <c r="D60" t="inlineStr">
        <is>
          <t>Other Income/Expense</t>
        </is>
      </c>
      <c r="E60" t="n">
        <v>11250</v>
      </c>
    </row>
    <row r="61">
      <c r="A61" t="inlineStr">
        <is>
          <t>Q4 FY25</t>
        </is>
      </c>
      <c r="B61" t="inlineStr">
        <is>
          <t>Store 102</t>
        </is>
      </c>
      <c r="C61" t="inlineStr">
        <is>
          <t>Depreciation</t>
        </is>
      </c>
      <c r="D61" t="inlineStr">
        <is>
          <t>Other Income/Expense</t>
        </is>
      </c>
      <c r="E61" t="n">
        <v>11250</v>
      </c>
    </row>
    <row r="62">
      <c r="A62" t="inlineStr">
        <is>
          <t>Q4 FY25</t>
        </is>
      </c>
      <c r="B62" t="inlineStr">
        <is>
          <t>Store 205</t>
        </is>
      </c>
      <c r="C62" t="inlineStr">
        <is>
          <t>Depreciation</t>
        </is>
      </c>
      <c r="D62" t="inlineStr">
        <is>
          <t>Other Income/Expense</t>
        </is>
      </c>
      <c r="E62" t="n">
        <v>11250</v>
      </c>
    </row>
    <row r="63">
      <c r="A63" t="inlineStr">
        <is>
          <t>Q4 FY25</t>
        </is>
      </c>
      <c r="B63" t="inlineStr">
        <is>
          <t>Online</t>
        </is>
      </c>
      <c r="C63" t="inlineStr">
        <is>
          <t>Depreciation</t>
        </is>
      </c>
      <c r="D63" t="inlineStr">
        <is>
          <t>Other Income/Expense</t>
        </is>
      </c>
      <c r="E63" t="n">
        <v>11250</v>
      </c>
    </row>
    <row r="64">
      <c r="A64" t="inlineStr">
        <is>
          <t>Q1 FY26</t>
        </is>
      </c>
      <c r="B64" t="inlineStr">
        <is>
          <t>Store 101</t>
        </is>
      </c>
      <c r="C64" t="inlineStr">
        <is>
          <t>In-Store Sales</t>
        </is>
      </c>
      <c r="D64" t="inlineStr">
        <is>
          <t>Net Sales</t>
        </is>
      </c>
      <c r="E64" t="n">
        <v>699031.8100000001</v>
      </c>
    </row>
    <row r="65">
      <c r="A65" t="inlineStr">
        <is>
          <t>Q1 FY26</t>
        </is>
      </c>
      <c r="B65" t="inlineStr">
        <is>
          <t>Store 102</t>
        </is>
      </c>
      <c r="C65" t="inlineStr">
        <is>
          <t>In-Store Sales</t>
        </is>
      </c>
      <c r="D65" t="inlineStr">
        <is>
          <t>Net Sales</t>
        </is>
      </c>
      <c r="E65" t="n">
        <v>703698.45</v>
      </c>
    </row>
    <row r="66">
      <c r="A66" t="inlineStr">
        <is>
          <t>Q1 FY26</t>
        </is>
      </c>
      <c r="B66" t="inlineStr">
        <is>
          <t>Store 205</t>
        </is>
      </c>
      <c r="C66" t="inlineStr">
        <is>
          <t>In-Store Sales</t>
        </is>
      </c>
      <c r="D66" t="inlineStr">
        <is>
          <t>Net Sales</t>
        </is>
      </c>
      <c r="E66" t="n">
        <v>746811.66</v>
      </c>
    </row>
    <row r="67">
      <c r="A67" t="inlineStr">
        <is>
          <t>Q1 FY26</t>
        </is>
      </c>
      <c r="B67" t="inlineStr">
        <is>
          <t>Online</t>
        </is>
      </c>
      <c r="C67" t="inlineStr">
        <is>
          <t>E-Commerce Sales</t>
        </is>
      </c>
      <c r="D67" t="inlineStr">
        <is>
          <t>Net Sales</t>
        </is>
      </c>
      <c r="E67" t="n">
        <v>805863.29</v>
      </c>
    </row>
    <row r="68">
      <c r="A68" t="inlineStr">
        <is>
          <t>Q1 FY26</t>
        </is>
      </c>
      <c r="B68" t="inlineStr">
        <is>
          <t>Store 101</t>
        </is>
      </c>
      <c r="C68" t="inlineStr">
        <is>
          <t>Merchandise Cost</t>
        </is>
      </c>
      <c r="D68" t="inlineStr">
        <is>
          <t>COGS</t>
        </is>
      </c>
      <c r="E68" t="n">
        <v>430993.5</v>
      </c>
    </row>
    <row r="69">
      <c r="A69" t="inlineStr">
        <is>
          <t>Q1 FY26</t>
        </is>
      </c>
      <c r="B69" t="inlineStr">
        <is>
          <t>Store 102</t>
        </is>
      </c>
      <c r="C69" t="inlineStr">
        <is>
          <t>Merchandise Cost</t>
        </is>
      </c>
      <c r="D69" t="inlineStr">
        <is>
          <t>COGS</t>
        </is>
      </c>
      <c r="E69" t="n">
        <v>431052.33</v>
      </c>
    </row>
    <row r="70">
      <c r="A70" t="inlineStr">
        <is>
          <t>Q1 FY26</t>
        </is>
      </c>
      <c r="B70" t="inlineStr">
        <is>
          <t>Store 205</t>
        </is>
      </c>
      <c r="C70" t="inlineStr">
        <is>
          <t>Merchandise Cost</t>
        </is>
      </c>
      <c r="D70" t="inlineStr">
        <is>
          <t>COGS</t>
        </is>
      </c>
      <c r="E70" t="n">
        <v>459355.7</v>
      </c>
    </row>
    <row r="71">
      <c r="A71" t="inlineStr">
        <is>
          <t>Q1 FY26</t>
        </is>
      </c>
      <c r="B71" t="inlineStr">
        <is>
          <t>Online</t>
        </is>
      </c>
      <c r="C71" t="inlineStr">
        <is>
          <t>Merchandise Cost</t>
        </is>
      </c>
      <c r="D71" t="inlineStr">
        <is>
          <t>COGS</t>
        </is>
      </c>
      <c r="E71" t="n">
        <v>494474.62</v>
      </c>
    </row>
    <row r="72">
      <c r="A72" t="inlineStr">
        <is>
          <t>Q1 FY26</t>
        </is>
      </c>
      <c r="B72" t="inlineStr">
        <is>
          <t>Store 101</t>
        </is>
      </c>
      <c r="C72" t="inlineStr">
        <is>
          <t>Shrink</t>
        </is>
      </c>
      <c r="D72" t="inlineStr">
        <is>
          <t>COGS</t>
        </is>
      </c>
      <c r="E72" t="n">
        <v>9757.26</v>
      </c>
    </row>
    <row r="73">
      <c r="A73" t="inlineStr">
        <is>
          <t>Q1 FY26</t>
        </is>
      </c>
      <c r="B73" t="inlineStr">
        <is>
          <t>Store 102</t>
        </is>
      </c>
      <c r="C73" t="inlineStr">
        <is>
          <t>Shrink</t>
        </is>
      </c>
      <c r="D73" t="inlineStr">
        <is>
          <t>COGS</t>
        </is>
      </c>
      <c r="E73" t="n">
        <v>9868.540000000001</v>
      </c>
    </row>
    <row r="74">
      <c r="A74" t="inlineStr">
        <is>
          <t>Q1 FY26</t>
        </is>
      </c>
      <c r="B74" t="inlineStr">
        <is>
          <t>Store 205</t>
        </is>
      </c>
      <c r="C74" t="inlineStr">
        <is>
          <t>Shrink</t>
        </is>
      </c>
      <c r="D74" t="inlineStr">
        <is>
          <t>COGS</t>
        </is>
      </c>
      <c r="E74" t="n">
        <v>10472.98</v>
      </c>
    </row>
    <row r="75">
      <c r="A75" t="inlineStr">
        <is>
          <t>Q1 FY26</t>
        </is>
      </c>
      <c r="B75" t="inlineStr">
        <is>
          <t>Online</t>
        </is>
      </c>
      <c r="C75" t="inlineStr">
        <is>
          <t>Shrink</t>
        </is>
      </c>
      <c r="D75" t="inlineStr">
        <is>
          <t>COGS</t>
        </is>
      </c>
      <c r="E75" t="n">
        <v>11373.29</v>
      </c>
    </row>
    <row r="76">
      <c r="A76" t="inlineStr">
        <is>
          <t>Q1 FY26</t>
        </is>
      </c>
      <c r="B76" t="inlineStr">
        <is>
          <t>Store 101</t>
        </is>
      </c>
      <c r="C76" t="inlineStr">
        <is>
          <t>Store Payroll</t>
        </is>
      </c>
      <c r="D76" t="inlineStr">
        <is>
          <t>SG&amp;A</t>
        </is>
      </c>
      <c r="E76" t="n">
        <v>158271.14</v>
      </c>
    </row>
    <row r="77">
      <c r="A77" t="inlineStr">
        <is>
          <t>Q1 FY26</t>
        </is>
      </c>
      <c r="B77" t="inlineStr">
        <is>
          <t>Store 102</t>
        </is>
      </c>
      <c r="C77" t="inlineStr">
        <is>
          <t>Store Payroll</t>
        </is>
      </c>
      <c r="D77" t="inlineStr">
        <is>
          <t>SG&amp;A</t>
        </is>
      </c>
      <c r="E77" t="n">
        <v>161353.24</v>
      </c>
    </row>
    <row r="78">
      <c r="A78" t="inlineStr">
        <is>
          <t>Q1 FY26</t>
        </is>
      </c>
      <c r="B78" t="inlineStr">
        <is>
          <t>Store 205</t>
        </is>
      </c>
      <c r="C78" t="inlineStr">
        <is>
          <t>Store Payroll</t>
        </is>
      </c>
      <c r="D78" t="inlineStr">
        <is>
          <t>SG&amp;A</t>
        </is>
      </c>
      <c r="E78" t="n">
        <v>160447.88</v>
      </c>
    </row>
    <row r="79">
      <c r="A79" t="inlineStr">
        <is>
          <t>Q1 FY26</t>
        </is>
      </c>
      <c r="B79" t="inlineStr">
        <is>
          <t>Store 101</t>
        </is>
      </c>
      <c r="C79" t="inlineStr">
        <is>
          <t>Marketing</t>
        </is>
      </c>
      <c r="D79" t="inlineStr">
        <is>
          <t>SG&amp;A</t>
        </is>
      </c>
      <c r="E79" t="n">
        <v>43649.73</v>
      </c>
    </row>
    <row r="80">
      <c r="A80" t="inlineStr">
        <is>
          <t>Q1 FY26</t>
        </is>
      </c>
      <c r="B80" t="inlineStr">
        <is>
          <t>Store 102</t>
        </is>
      </c>
      <c r="C80" t="inlineStr">
        <is>
          <t>Marketing</t>
        </is>
      </c>
      <c r="D80" t="inlineStr">
        <is>
          <t>SG&amp;A</t>
        </is>
      </c>
      <c r="E80" t="n">
        <v>42575.48</v>
      </c>
    </row>
    <row r="81">
      <c r="A81" t="inlineStr">
        <is>
          <t>Q1 FY26</t>
        </is>
      </c>
      <c r="B81" t="inlineStr">
        <is>
          <t>Store 205</t>
        </is>
      </c>
      <c r="C81" t="inlineStr">
        <is>
          <t>Marketing</t>
        </is>
      </c>
      <c r="D81" t="inlineStr">
        <is>
          <t>SG&amp;A</t>
        </is>
      </c>
      <c r="E81" t="n">
        <v>40868.01</v>
      </c>
    </row>
    <row r="82">
      <c r="A82" t="inlineStr">
        <is>
          <t>Q1 FY26</t>
        </is>
      </c>
      <c r="B82" t="inlineStr">
        <is>
          <t>Online</t>
        </is>
      </c>
      <c r="C82" t="inlineStr">
        <is>
          <t>Marketing</t>
        </is>
      </c>
      <c r="D82" t="inlineStr">
        <is>
          <t>SG&amp;A</t>
        </is>
      </c>
      <c r="E82" t="n">
        <v>129635.23</v>
      </c>
    </row>
    <row r="83">
      <c r="A83" t="inlineStr">
        <is>
          <t>Q1 FY26</t>
        </is>
      </c>
      <c r="B83" t="inlineStr">
        <is>
          <t>Store 101</t>
        </is>
      </c>
      <c r="C83" t="inlineStr">
        <is>
          <t>Occupancy</t>
        </is>
      </c>
      <c r="D83" t="inlineStr">
        <is>
          <t>SG&amp;A</t>
        </is>
      </c>
      <c r="E83" t="n">
        <v>52500</v>
      </c>
    </row>
    <row r="84">
      <c r="A84" t="inlineStr">
        <is>
          <t>Q1 FY26</t>
        </is>
      </c>
      <c r="B84" t="inlineStr">
        <is>
          <t>Store 102</t>
        </is>
      </c>
      <c r="C84" t="inlineStr">
        <is>
          <t>Occupancy</t>
        </is>
      </c>
      <c r="D84" t="inlineStr">
        <is>
          <t>SG&amp;A</t>
        </is>
      </c>
      <c r="E84" t="n">
        <v>52500</v>
      </c>
    </row>
    <row r="85">
      <c r="A85" t="inlineStr">
        <is>
          <t>Q1 FY26</t>
        </is>
      </c>
      <c r="B85" t="inlineStr">
        <is>
          <t>Store 205</t>
        </is>
      </c>
      <c r="C85" t="inlineStr">
        <is>
          <t>Occupancy</t>
        </is>
      </c>
      <c r="D85" t="inlineStr">
        <is>
          <t>SG&amp;A</t>
        </is>
      </c>
      <c r="E85" t="n">
        <v>52500</v>
      </c>
    </row>
    <row r="86">
      <c r="A86" t="inlineStr">
        <is>
          <t>Q1 FY26</t>
        </is>
      </c>
      <c r="B86" t="inlineStr">
        <is>
          <t>Online</t>
        </is>
      </c>
      <c r="C86" t="inlineStr">
        <is>
          <t>Occupancy</t>
        </is>
      </c>
      <c r="D86" t="inlineStr">
        <is>
          <t>SG&amp;A</t>
        </is>
      </c>
      <c r="E86" t="n">
        <v>52500</v>
      </c>
    </row>
    <row r="87">
      <c r="A87" t="inlineStr">
        <is>
          <t>Q1 FY26</t>
        </is>
      </c>
      <c r="B87" t="inlineStr">
        <is>
          <t>Store 101</t>
        </is>
      </c>
      <c r="C87" t="inlineStr">
        <is>
          <t>Interest Income</t>
        </is>
      </c>
      <c r="D87" t="inlineStr">
        <is>
          <t>Other Income/Expense</t>
        </is>
      </c>
      <c r="E87" t="n">
        <v>-2000</v>
      </c>
    </row>
    <row r="88">
      <c r="A88" t="inlineStr">
        <is>
          <t>Q1 FY26</t>
        </is>
      </c>
      <c r="B88" t="inlineStr">
        <is>
          <t>Store 102</t>
        </is>
      </c>
      <c r="C88" t="inlineStr">
        <is>
          <t>Interest Income</t>
        </is>
      </c>
      <c r="D88" t="inlineStr">
        <is>
          <t>Other Income/Expense</t>
        </is>
      </c>
      <c r="E88" t="n">
        <v>-2000</v>
      </c>
    </row>
    <row r="89">
      <c r="A89" t="inlineStr">
        <is>
          <t>Q1 FY26</t>
        </is>
      </c>
      <c r="B89" t="inlineStr">
        <is>
          <t>Store 205</t>
        </is>
      </c>
      <c r="C89" t="inlineStr">
        <is>
          <t>Interest Income</t>
        </is>
      </c>
      <c r="D89" t="inlineStr">
        <is>
          <t>Other Income/Expense</t>
        </is>
      </c>
      <c r="E89" t="n">
        <v>-2000</v>
      </c>
    </row>
    <row r="90">
      <c r="A90" t="inlineStr">
        <is>
          <t>Q1 FY26</t>
        </is>
      </c>
      <c r="B90" t="inlineStr">
        <is>
          <t>Online</t>
        </is>
      </c>
      <c r="C90" t="inlineStr">
        <is>
          <t>Interest Income</t>
        </is>
      </c>
      <c r="D90" t="inlineStr">
        <is>
          <t>Other Income/Expense</t>
        </is>
      </c>
      <c r="E90" t="n">
        <v>-2000</v>
      </c>
    </row>
    <row r="91">
      <c r="A91" t="inlineStr">
        <is>
          <t>Q1 FY26</t>
        </is>
      </c>
      <c r="B91" t="inlineStr">
        <is>
          <t>Store 101</t>
        </is>
      </c>
      <c r="C91" t="inlineStr">
        <is>
          <t>Depreciation</t>
        </is>
      </c>
      <c r="D91" t="inlineStr">
        <is>
          <t>Other Income/Expense</t>
        </is>
      </c>
      <c r="E91" t="n">
        <v>11250</v>
      </c>
    </row>
    <row r="92">
      <c r="A92" t="inlineStr">
        <is>
          <t>Q1 FY26</t>
        </is>
      </c>
      <c r="B92" t="inlineStr">
        <is>
          <t>Store 102</t>
        </is>
      </c>
      <c r="C92" t="inlineStr">
        <is>
          <t>Depreciation</t>
        </is>
      </c>
      <c r="D92" t="inlineStr">
        <is>
          <t>Other Income/Expense</t>
        </is>
      </c>
      <c r="E92" t="n">
        <v>11250</v>
      </c>
    </row>
    <row r="93">
      <c r="A93" t="inlineStr">
        <is>
          <t>Q1 FY26</t>
        </is>
      </c>
      <c r="B93" t="inlineStr">
        <is>
          <t>Store 205</t>
        </is>
      </c>
      <c r="C93" t="inlineStr">
        <is>
          <t>Depreciation</t>
        </is>
      </c>
      <c r="D93" t="inlineStr">
        <is>
          <t>Other Income/Expense</t>
        </is>
      </c>
      <c r="E93" t="n">
        <v>11250</v>
      </c>
    </row>
    <row r="94">
      <c r="A94" t="inlineStr">
        <is>
          <t>Q1 FY26</t>
        </is>
      </c>
      <c r="B94" t="inlineStr">
        <is>
          <t>Online</t>
        </is>
      </c>
      <c r="C94" t="inlineStr">
        <is>
          <t>Depreciation</t>
        </is>
      </c>
      <c r="D94" t="inlineStr">
        <is>
          <t>Other Income/Expense</t>
        </is>
      </c>
      <c r="E94" t="n">
        <v>11250</v>
      </c>
    </row>
    <row r="95">
      <c r="A95" t="inlineStr">
        <is>
          <t>Q2 FY26</t>
        </is>
      </c>
      <c r="B95" t="inlineStr">
        <is>
          <t>Store 101</t>
        </is>
      </c>
      <c r="C95" t="inlineStr">
        <is>
          <t>In-Store Sales</t>
        </is>
      </c>
      <c r="D95" t="inlineStr">
        <is>
          <t>Net Sales</t>
        </is>
      </c>
      <c r="E95" t="n">
        <v>829736.51</v>
      </c>
    </row>
    <row r="96">
      <c r="A96" t="inlineStr">
        <is>
          <t>Q2 FY26</t>
        </is>
      </c>
      <c r="B96" t="inlineStr">
        <is>
          <t>Store 102</t>
        </is>
      </c>
      <c r="C96" t="inlineStr">
        <is>
          <t>In-Store Sales</t>
        </is>
      </c>
      <c r="D96" t="inlineStr">
        <is>
          <t>Net Sales</t>
        </is>
      </c>
      <c r="E96" t="n">
        <v>825900.54</v>
      </c>
    </row>
    <row r="97">
      <c r="A97" t="inlineStr">
        <is>
          <t>Q2 FY26</t>
        </is>
      </c>
      <c r="B97" t="inlineStr">
        <is>
          <t>Store 205</t>
        </is>
      </c>
      <c r="C97" t="inlineStr">
        <is>
          <t>In-Store Sales</t>
        </is>
      </c>
      <c r="D97" t="inlineStr">
        <is>
          <t>Net Sales</t>
        </is>
      </c>
      <c r="E97" t="n">
        <v>804422.88</v>
      </c>
    </row>
    <row r="98">
      <c r="A98" t="inlineStr">
        <is>
          <t>Q2 FY26</t>
        </is>
      </c>
      <c r="B98" t="inlineStr">
        <is>
          <t>Online</t>
        </is>
      </c>
      <c r="C98" t="inlineStr">
        <is>
          <t>E-Commerce Sales</t>
        </is>
      </c>
      <c r="D98" t="inlineStr">
        <is>
          <t>Net Sales</t>
        </is>
      </c>
      <c r="E98" t="n">
        <v>915394.83</v>
      </c>
    </row>
    <row r="99">
      <c r="A99" t="inlineStr">
        <is>
          <t>Q2 FY26</t>
        </is>
      </c>
      <c r="B99" t="inlineStr">
        <is>
          <t>Store 101</t>
        </is>
      </c>
      <c r="C99" t="inlineStr">
        <is>
          <t>Merchandise Cost</t>
        </is>
      </c>
      <c r="D99" t="inlineStr">
        <is>
          <t>COGS</t>
        </is>
      </c>
      <c r="E99" t="n">
        <v>507339.76</v>
      </c>
    </row>
    <row r="100">
      <c r="A100" t="inlineStr">
        <is>
          <t>Q2 FY26</t>
        </is>
      </c>
      <c r="B100" t="inlineStr">
        <is>
          <t>Store 102</t>
        </is>
      </c>
      <c r="C100" t="inlineStr">
        <is>
          <t>Merchandise Cost</t>
        </is>
      </c>
      <c r="D100" t="inlineStr">
        <is>
          <t>COGS</t>
        </is>
      </c>
      <c r="E100" t="n">
        <v>511297.5</v>
      </c>
    </row>
    <row r="101">
      <c r="A101" t="inlineStr">
        <is>
          <t>Q2 FY26</t>
        </is>
      </c>
      <c r="B101" t="inlineStr">
        <is>
          <t>Store 205</t>
        </is>
      </c>
      <c r="C101" t="inlineStr">
        <is>
          <t>Merchandise Cost</t>
        </is>
      </c>
      <c r="D101" t="inlineStr">
        <is>
          <t>COGS</t>
        </is>
      </c>
      <c r="E101" t="n">
        <v>495447.63</v>
      </c>
    </row>
    <row r="102">
      <c r="A102" t="inlineStr">
        <is>
          <t>Q2 FY26</t>
        </is>
      </c>
      <c r="B102" t="inlineStr">
        <is>
          <t>Online</t>
        </is>
      </c>
      <c r="C102" t="inlineStr">
        <is>
          <t>Merchandise Cost</t>
        </is>
      </c>
      <c r="D102" t="inlineStr">
        <is>
          <t>COGS</t>
        </is>
      </c>
      <c r="E102" t="n">
        <v>560546.58</v>
      </c>
    </row>
    <row r="103">
      <c r="A103" t="inlineStr">
        <is>
          <t>Q2 FY26</t>
        </is>
      </c>
      <c r="B103" t="inlineStr">
        <is>
          <t>Store 101</t>
        </is>
      </c>
      <c r="C103" t="inlineStr">
        <is>
          <t>Shrink</t>
        </is>
      </c>
      <c r="D103" t="inlineStr">
        <is>
          <t>COGS</t>
        </is>
      </c>
      <c r="E103" t="n">
        <v>11514.89</v>
      </c>
    </row>
    <row r="104">
      <c r="A104" t="inlineStr">
        <is>
          <t>Q2 FY26</t>
        </is>
      </c>
      <c r="B104" t="inlineStr">
        <is>
          <t>Store 102</t>
        </is>
      </c>
      <c r="C104" t="inlineStr">
        <is>
          <t>Shrink</t>
        </is>
      </c>
      <c r="D104" t="inlineStr">
        <is>
          <t>COGS</t>
        </is>
      </c>
      <c r="E104" t="n">
        <v>11644.46</v>
      </c>
    </row>
    <row r="105">
      <c r="A105" t="inlineStr">
        <is>
          <t>Q2 FY26</t>
        </is>
      </c>
      <c r="B105" t="inlineStr">
        <is>
          <t>Store 205</t>
        </is>
      </c>
      <c r="C105" t="inlineStr">
        <is>
          <t>Shrink</t>
        </is>
      </c>
      <c r="D105" t="inlineStr">
        <is>
          <t>COGS</t>
        </is>
      </c>
      <c r="E105" t="n">
        <v>11372.24</v>
      </c>
    </row>
    <row r="106">
      <c r="A106" t="inlineStr">
        <is>
          <t>Q2 FY26</t>
        </is>
      </c>
      <c r="B106" t="inlineStr">
        <is>
          <t>Online</t>
        </is>
      </c>
      <c r="C106" t="inlineStr">
        <is>
          <t>Shrink</t>
        </is>
      </c>
      <c r="D106" t="inlineStr">
        <is>
          <t>COGS</t>
        </is>
      </c>
      <c r="E106" t="n">
        <v>12710.06</v>
      </c>
    </row>
    <row r="107">
      <c r="A107" t="inlineStr">
        <is>
          <t>Q2 FY26</t>
        </is>
      </c>
      <c r="B107" t="inlineStr">
        <is>
          <t>Store 101</t>
        </is>
      </c>
      <c r="C107" t="inlineStr">
        <is>
          <t>Store Payroll</t>
        </is>
      </c>
      <c r="D107" t="inlineStr">
        <is>
          <t>SG&amp;A</t>
        </is>
      </c>
      <c r="E107" t="n">
        <v>177501.59</v>
      </c>
    </row>
    <row r="108">
      <c r="A108" t="inlineStr">
        <is>
          <t>Q2 FY26</t>
        </is>
      </c>
      <c r="B108" t="inlineStr">
        <is>
          <t>Store 102</t>
        </is>
      </c>
      <c r="C108" t="inlineStr">
        <is>
          <t>Store Payroll</t>
        </is>
      </c>
      <c r="D108" t="inlineStr">
        <is>
          <t>SG&amp;A</t>
        </is>
      </c>
      <c r="E108" t="n">
        <v>172091.74</v>
      </c>
    </row>
    <row r="109">
      <c r="A109" t="inlineStr">
        <is>
          <t>Q2 FY26</t>
        </is>
      </c>
      <c r="B109" t="inlineStr">
        <is>
          <t>Store 205</t>
        </is>
      </c>
      <c r="C109" t="inlineStr">
        <is>
          <t>Store Payroll</t>
        </is>
      </c>
      <c r="D109" t="inlineStr">
        <is>
          <t>SG&amp;A</t>
        </is>
      </c>
      <c r="E109" t="n">
        <v>168490.61</v>
      </c>
    </row>
    <row r="110">
      <c r="A110" t="inlineStr">
        <is>
          <t>Q2 FY26</t>
        </is>
      </c>
      <c r="B110" t="inlineStr">
        <is>
          <t>Store 101</t>
        </is>
      </c>
      <c r="C110" t="inlineStr">
        <is>
          <t>Marketing</t>
        </is>
      </c>
      <c r="D110" t="inlineStr">
        <is>
          <t>SG&amp;A</t>
        </is>
      </c>
      <c r="E110" t="n">
        <v>45897.19</v>
      </c>
    </row>
    <row r="111">
      <c r="A111" t="inlineStr">
        <is>
          <t>Q2 FY26</t>
        </is>
      </c>
      <c r="B111" t="inlineStr">
        <is>
          <t>Store 102</t>
        </is>
      </c>
      <c r="C111" t="inlineStr">
        <is>
          <t>Marketing</t>
        </is>
      </c>
      <c r="D111" t="inlineStr">
        <is>
          <t>SG&amp;A</t>
        </is>
      </c>
      <c r="E111" t="n">
        <v>47670.16</v>
      </c>
    </row>
    <row r="112">
      <c r="A112" t="inlineStr">
        <is>
          <t>Q2 FY26</t>
        </is>
      </c>
      <c r="B112" t="inlineStr">
        <is>
          <t>Store 205</t>
        </is>
      </c>
      <c r="C112" t="inlineStr">
        <is>
          <t>Marketing</t>
        </is>
      </c>
      <c r="D112" t="inlineStr">
        <is>
          <t>SG&amp;A</t>
        </is>
      </c>
      <c r="E112" t="n">
        <v>48058.33</v>
      </c>
    </row>
    <row r="113">
      <c r="A113" t="inlineStr">
        <is>
          <t>Q2 FY26</t>
        </is>
      </c>
      <c r="B113" t="inlineStr">
        <is>
          <t>Online</t>
        </is>
      </c>
      <c r="C113" t="inlineStr">
        <is>
          <t>Marketing</t>
        </is>
      </c>
      <c r="D113" t="inlineStr">
        <is>
          <t>SG&amp;A</t>
        </is>
      </c>
      <c r="E113" t="n">
        <v>134894.93</v>
      </c>
    </row>
    <row r="114">
      <c r="A114" t="inlineStr">
        <is>
          <t>Q2 FY26</t>
        </is>
      </c>
      <c r="B114" t="inlineStr">
        <is>
          <t>Store 101</t>
        </is>
      </c>
      <c r="C114" t="inlineStr">
        <is>
          <t>Occupancy</t>
        </is>
      </c>
      <c r="D114" t="inlineStr">
        <is>
          <t>SG&amp;A</t>
        </is>
      </c>
      <c r="E114" t="n">
        <v>52500</v>
      </c>
    </row>
    <row r="115">
      <c r="A115" t="inlineStr">
        <is>
          <t>Q2 FY26</t>
        </is>
      </c>
      <c r="B115" t="inlineStr">
        <is>
          <t>Store 102</t>
        </is>
      </c>
      <c r="C115" t="inlineStr">
        <is>
          <t>Occupancy</t>
        </is>
      </c>
      <c r="D115" t="inlineStr">
        <is>
          <t>SG&amp;A</t>
        </is>
      </c>
      <c r="E115" t="n">
        <v>52500</v>
      </c>
    </row>
    <row r="116">
      <c r="A116" t="inlineStr">
        <is>
          <t>Q2 FY26</t>
        </is>
      </c>
      <c r="B116" t="inlineStr">
        <is>
          <t>Store 205</t>
        </is>
      </c>
      <c r="C116" t="inlineStr">
        <is>
          <t>Occupancy</t>
        </is>
      </c>
      <c r="D116" t="inlineStr">
        <is>
          <t>SG&amp;A</t>
        </is>
      </c>
      <c r="E116" t="n">
        <v>52500</v>
      </c>
    </row>
    <row r="117">
      <c r="A117" t="inlineStr">
        <is>
          <t>Q2 FY26</t>
        </is>
      </c>
      <c r="B117" t="inlineStr">
        <is>
          <t>Online</t>
        </is>
      </c>
      <c r="C117" t="inlineStr">
        <is>
          <t>Occupancy</t>
        </is>
      </c>
      <c r="D117" t="inlineStr">
        <is>
          <t>SG&amp;A</t>
        </is>
      </c>
      <c r="E117" t="n">
        <v>52500</v>
      </c>
    </row>
    <row r="118">
      <c r="A118" t="inlineStr">
        <is>
          <t>Q2 FY26</t>
        </is>
      </c>
      <c r="B118" t="inlineStr">
        <is>
          <t>Store 101</t>
        </is>
      </c>
      <c r="C118" t="inlineStr">
        <is>
          <t>Interest Income</t>
        </is>
      </c>
      <c r="D118" t="inlineStr">
        <is>
          <t>Other Income/Expense</t>
        </is>
      </c>
      <c r="E118" t="n">
        <v>-2000</v>
      </c>
    </row>
    <row r="119">
      <c r="A119" t="inlineStr">
        <is>
          <t>Q2 FY26</t>
        </is>
      </c>
      <c r="B119" t="inlineStr">
        <is>
          <t>Store 102</t>
        </is>
      </c>
      <c r="C119" t="inlineStr">
        <is>
          <t>Interest Income</t>
        </is>
      </c>
      <c r="D119" t="inlineStr">
        <is>
          <t>Other Income/Expense</t>
        </is>
      </c>
      <c r="E119" t="n">
        <v>-2000</v>
      </c>
    </row>
    <row r="120">
      <c r="A120" t="inlineStr">
        <is>
          <t>Q2 FY26</t>
        </is>
      </c>
      <c r="B120" t="inlineStr">
        <is>
          <t>Store 205</t>
        </is>
      </c>
      <c r="C120" t="inlineStr">
        <is>
          <t>Interest Income</t>
        </is>
      </c>
      <c r="D120" t="inlineStr">
        <is>
          <t>Other Income/Expense</t>
        </is>
      </c>
      <c r="E120" t="n">
        <v>-2000</v>
      </c>
    </row>
    <row r="121">
      <c r="A121" t="inlineStr">
        <is>
          <t>Q2 FY26</t>
        </is>
      </c>
      <c r="B121" t="inlineStr">
        <is>
          <t>Online</t>
        </is>
      </c>
      <c r="C121" t="inlineStr">
        <is>
          <t>Interest Income</t>
        </is>
      </c>
      <c r="D121" t="inlineStr">
        <is>
          <t>Other Income/Expense</t>
        </is>
      </c>
      <c r="E121" t="n">
        <v>-2000</v>
      </c>
    </row>
    <row r="122">
      <c r="A122" t="inlineStr">
        <is>
          <t>Q2 FY26</t>
        </is>
      </c>
      <c r="B122" t="inlineStr">
        <is>
          <t>Store 101</t>
        </is>
      </c>
      <c r="C122" t="inlineStr">
        <is>
          <t>Depreciation</t>
        </is>
      </c>
      <c r="D122" t="inlineStr">
        <is>
          <t>Other Income/Expense</t>
        </is>
      </c>
      <c r="E122" t="n">
        <v>11250</v>
      </c>
    </row>
    <row r="123">
      <c r="A123" t="inlineStr">
        <is>
          <t>Q2 FY26</t>
        </is>
      </c>
      <c r="B123" t="inlineStr">
        <is>
          <t>Store 102</t>
        </is>
      </c>
      <c r="C123" t="inlineStr">
        <is>
          <t>Depreciation</t>
        </is>
      </c>
      <c r="D123" t="inlineStr">
        <is>
          <t>Other Income/Expense</t>
        </is>
      </c>
      <c r="E123" t="n">
        <v>11250</v>
      </c>
    </row>
    <row r="124">
      <c r="A124" t="inlineStr">
        <is>
          <t>Q2 FY26</t>
        </is>
      </c>
      <c r="B124" t="inlineStr">
        <is>
          <t>Store 205</t>
        </is>
      </c>
      <c r="C124" t="inlineStr">
        <is>
          <t>Depreciation</t>
        </is>
      </c>
      <c r="D124" t="inlineStr">
        <is>
          <t>Other Income/Expense</t>
        </is>
      </c>
      <c r="E124" t="n">
        <v>11250</v>
      </c>
    </row>
    <row r="125">
      <c r="A125" t="inlineStr">
        <is>
          <t>Q2 FY26</t>
        </is>
      </c>
      <c r="B125" t="inlineStr">
        <is>
          <t>Online</t>
        </is>
      </c>
      <c r="C125" t="inlineStr">
        <is>
          <t>Depreciation</t>
        </is>
      </c>
      <c r="D125" t="inlineStr">
        <is>
          <t>Other Income/Expense</t>
        </is>
      </c>
      <c r="E125" t="n">
        <v>11250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Budget drivers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In-store YoY growth (vs same qtr FY25)</t>
        </is>
      </c>
      <c r="B4" s="5" t="n">
        <v>0.04</v>
      </c>
    </row>
    <row r="5">
      <c r="A5" t="inlineStr">
        <is>
          <t>E-commerce YoY growth</t>
        </is>
      </c>
      <c r="B5" s="5" t="n">
        <v>0.12</v>
      </c>
    </row>
    <row r="6">
      <c r="A6" t="inlineStr">
        <is>
          <t>Merchandise cost % of sales</t>
        </is>
      </c>
      <c r="B6" s="5" t="n">
        <v>0.615</v>
      </c>
    </row>
    <row r="7">
      <c r="A7" t="inlineStr">
        <is>
          <t>Shrink % of sales</t>
        </is>
      </c>
      <c r="B7" s="5" t="n">
        <v>0.014</v>
      </c>
    </row>
    <row r="8">
      <c r="A8" t="inlineStr">
        <is>
          <t>Payroll QoQ growth</t>
        </is>
      </c>
      <c r="B8" s="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