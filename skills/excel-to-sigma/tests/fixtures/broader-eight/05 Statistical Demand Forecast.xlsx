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Forecast" sheetId="2" state="visible" r:id="rId2"/>
    <sheet name="Params" sheetId="3" state="visible" r:id="rId3"/>
  </sheets>
  <definedNames>
    <definedName name="SelectedSKU">Params!$B$3</definedName>
    <definedName name="SKU_A100">History!$B$2:$B$37</definedName>
    <definedName name="SKU_B200">History!$C$2:$C$37</definedName>
    <definedName name="SKU_C300">History!$D$2:$D$37</definedName>
    <definedName name="Months">History!$A$2:$A$37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7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Demand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'History'!B1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'History'!$A$2:$A$37</f>
            </numRef>
          </cat>
          <val>
            <numRef>
              <f>'History'!$B$2:$B$37</f>
            </numRef>
          </val>
        </ser>
        <ser>
          <idx val="1"/>
          <order val="1"/>
          <tx>
            <strRef>
              <f>'History'!C1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'History'!$A$2:$A$37</f>
            </numRef>
          </cat>
          <val>
            <numRef>
              <f>'History'!$C$2:$C$37</f>
            </numRef>
          </val>
        </ser>
        <ser>
          <idx val="2"/>
          <order val="2"/>
          <tx>
            <strRef>
              <f>'History'!D1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'History'!$A$2:$A$37</f>
            </numRef>
          </cat>
          <val>
            <numRef>
              <f>'History'!$D$2:$D$37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istory" displayName="tblHistory" ref="A1:D37" headerRowCount="1">
  <autoFilter ref="A1:D37"/>
  <tableColumns count="4">
    <tableColumn id="1" name="Month"/>
    <tableColumn id="2" name="SKU-A100"/>
    <tableColumn id="3" name="SKU-B200"/>
    <tableColumn id="4" name="SKU-C300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SKU-A100</t>
        </is>
      </c>
      <c r="C1" s="1" t="inlineStr">
        <is>
          <t>SKU-B200</t>
        </is>
      </c>
      <c r="D1" s="1" t="inlineStr">
        <is>
          <t>SKU-C300</t>
        </is>
      </c>
    </row>
    <row r="2">
      <c r="A2" s="2" t="n">
        <v>44927</v>
      </c>
      <c r="B2" t="n">
        <v>1239</v>
      </c>
      <c r="C2" t="n">
        <v>632</v>
      </c>
      <c r="D2" t="n">
        <v>305</v>
      </c>
    </row>
    <row r="3">
      <c r="A3" s="2" t="n">
        <v>44958</v>
      </c>
      <c r="B3" t="n">
        <v>1353</v>
      </c>
      <c r="C3" t="n">
        <v>667</v>
      </c>
      <c r="D3" t="n">
        <v>355</v>
      </c>
    </row>
    <row r="4">
      <c r="A4" s="2" t="n">
        <v>44986</v>
      </c>
      <c r="B4" t="n">
        <v>1414</v>
      </c>
      <c r="C4" t="n">
        <v>718</v>
      </c>
      <c r="D4" t="n">
        <v>345</v>
      </c>
    </row>
    <row r="5">
      <c r="A5" s="2" t="n">
        <v>45017</v>
      </c>
      <c r="B5" t="n">
        <v>1444</v>
      </c>
      <c r="C5" t="n">
        <v>780</v>
      </c>
      <c r="D5" t="n">
        <v>401</v>
      </c>
    </row>
    <row r="6">
      <c r="A6" s="2" t="n">
        <v>45047</v>
      </c>
      <c r="B6" t="n">
        <v>1450</v>
      </c>
      <c r="C6" t="n">
        <v>772</v>
      </c>
      <c r="D6" t="n">
        <v>412</v>
      </c>
    </row>
    <row r="7">
      <c r="A7" s="2" t="n">
        <v>45078</v>
      </c>
      <c r="B7" t="n">
        <v>1371</v>
      </c>
      <c r="C7" t="n">
        <v>761</v>
      </c>
      <c r="D7" t="n">
        <v>363</v>
      </c>
    </row>
    <row r="8">
      <c r="A8" s="2" t="n">
        <v>45108</v>
      </c>
      <c r="B8" t="n">
        <v>1269</v>
      </c>
      <c r="C8" t="n">
        <v>663</v>
      </c>
      <c r="D8" t="n">
        <v>366</v>
      </c>
    </row>
    <row r="9">
      <c r="A9" s="2" t="n">
        <v>45139</v>
      </c>
      <c r="B9" t="n">
        <v>1213</v>
      </c>
      <c r="C9" t="n">
        <v>607</v>
      </c>
      <c r="D9" t="n">
        <v>345</v>
      </c>
    </row>
    <row r="10">
      <c r="A10" s="2" t="n">
        <v>45170</v>
      </c>
      <c r="B10" t="n">
        <v>1137</v>
      </c>
      <c r="C10" t="n">
        <v>557</v>
      </c>
      <c r="D10" t="n">
        <v>302</v>
      </c>
    </row>
    <row r="11">
      <c r="A11" s="2" t="n">
        <v>45200</v>
      </c>
      <c r="B11" t="n">
        <v>1185</v>
      </c>
      <c r="C11" t="n">
        <v>618</v>
      </c>
      <c r="D11" t="n">
        <v>343</v>
      </c>
    </row>
    <row r="12">
      <c r="A12" s="2" t="n">
        <v>45231</v>
      </c>
      <c r="B12" t="n">
        <v>1169</v>
      </c>
      <c r="C12" t="n">
        <v>576</v>
      </c>
      <c r="D12" t="n">
        <v>303</v>
      </c>
    </row>
    <row r="13">
      <c r="A13" s="2" t="n">
        <v>45261</v>
      </c>
      <c r="B13" t="n">
        <v>1250</v>
      </c>
      <c r="C13" t="n">
        <v>634</v>
      </c>
      <c r="D13" t="n">
        <v>359</v>
      </c>
    </row>
    <row r="14">
      <c r="A14" s="2" t="n">
        <v>45292</v>
      </c>
      <c r="B14" t="n">
        <v>1397</v>
      </c>
      <c r="C14" t="n">
        <v>693</v>
      </c>
      <c r="D14" t="n">
        <v>405</v>
      </c>
    </row>
    <row r="15">
      <c r="A15" s="2" t="n">
        <v>45323</v>
      </c>
      <c r="B15" t="n">
        <v>1542</v>
      </c>
      <c r="C15" t="n">
        <v>761</v>
      </c>
      <c r="D15" t="n">
        <v>473</v>
      </c>
    </row>
    <row r="16">
      <c r="A16" s="2" t="n">
        <v>45352</v>
      </c>
      <c r="B16" t="n">
        <v>1679</v>
      </c>
      <c r="C16" t="n">
        <v>810</v>
      </c>
      <c r="D16" t="n">
        <v>456</v>
      </c>
    </row>
    <row r="17">
      <c r="A17" s="2" t="n">
        <v>45383</v>
      </c>
      <c r="B17" t="n">
        <v>1671</v>
      </c>
      <c r="C17" t="n">
        <v>854</v>
      </c>
      <c r="D17" t="n">
        <v>487</v>
      </c>
    </row>
    <row r="18">
      <c r="A18" s="2" t="n">
        <v>45413</v>
      </c>
      <c r="B18" t="n">
        <v>1637</v>
      </c>
      <c r="C18" t="n">
        <v>842</v>
      </c>
      <c r="D18" t="n">
        <v>504</v>
      </c>
    </row>
    <row r="19">
      <c r="A19" s="2" t="n">
        <v>45444</v>
      </c>
      <c r="B19" t="n">
        <v>1595</v>
      </c>
      <c r="C19" t="n">
        <v>778</v>
      </c>
      <c r="D19" t="n">
        <v>473</v>
      </c>
    </row>
    <row r="20">
      <c r="A20" s="2" t="n">
        <v>45474</v>
      </c>
      <c r="B20" t="n">
        <v>1492</v>
      </c>
      <c r="C20" t="n">
        <v>750</v>
      </c>
      <c r="D20" t="n">
        <v>460</v>
      </c>
    </row>
    <row r="21">
      <c r="A21" s="2" t="n">
        <v>45505</v>
      </c>
      <c r="B21" t="n">
        <v>1471</v>
      </c>
      <c r="C21" t="n">
        <v>731</v>
      </c>
      <c r="D21" t="n">
        <v>404</v>
      </c>
    </row>
    <row r="22">
      <c r="A22" s="2" t="n">
        <v>45536</v>
      </c>
      <c r="B22" t="n">
        <v>1409</v>
      </c>
      <c r="C22" t="n">
        <v>663</v>
      </c>
      <c r="D22" t="n">
        <v>401</v>
      </c>
    </row>
    <row r="23">
      <c r="A23" s="2" t="n">
        <v>45566</v>
      </c>
      <c r="B23" t="n">
        <v>1361</v>
      </c>
      <c r="C23" t="n">
        <v>656</v>
      </c>
      <c r="D23" t="n">
        <v>434</v>
      </c>
    </row>
    <row r="24">
      <c r="A24" s="2" t="n">
        <v>45597</v>
      </c>
      <c r="B24" t="n">
        <v>1430</v>
      </c>
      <c r="C24" t="n">
        <v>672</v>
      </c>
      <c r="D24" t="n">
        <v>434</v>
      </c>
    </row>
    <row r="25">
      <c r="A25" s="2" t="n">
        <v>45627</v>
      </c>
      <c r="B25" t="n">
        <v>1527</v>
      </c>
      <c r="C25" t="n">
        <v>740</v>
      </c>
      <c r="D25" t="n">
        <v>462</v>
      </c>
    </row>
    <row r="26">
      <c r="A26" s="2" t="n">
        <v>45658</v>
      </c>
      <c r="B26" t="n">
        <v>1599</v>
      </c>
      <c r="C26" t="n">
        <v>776</v>
      </c>
      <c r="D26" t="n">
        <v>478</v>
      </c>
    </row>
    <row r="27">
      <c r="A27" s="2" t="n">
        <v>45689</v>
      </c>
      <c r="B27" t="n">
        <v>1763</v>
      </c>
      <c r="C27" t="n">
        <v>859</v>
      </c>
      <c r="D27" t="n">
        <v>514</v>
      </c>
    </row>
    <row r="28">
      <c r="A28" s="2" t="n">
        <v>45717</v>
      </c>
      <c r="B28" t="n">
        <v>1885</v>
      </c>
      <c r="C28" t="n">
        <v>909</v>
      </c>
      <c r="D28" t="n">
        <v>587</v>
      </c>
    </row>
    <row r="29">
      <c r="A29" s="2" t="n">
        <v>45748</v>
      </c>
      <c r="B29" t="n">
        <v>1910</v>
      </c>
      <c r="C29" t="n">
        <v>951</v>
      </c>
      <c r="D29" t="n">
        <v>558</v>
      </c>
    </row>
    <row r="30">
      <c r="A30" s="2" t="n">
        <v>45778</v>
      </c>
      <c r="B30" t="n">
        <v>1908</v>
      </c>
      <c r="C30" t="n">
        <v>873</v>
      </c>
      <c r="D30" t="n">
        <v>582</v>
      </c>
    </row>
    <row r="31">
      <c r="A31" s="2" t="n">
        <v>45809</v>
      </c>
      <c r="B31" t="n">
        <v>1869</v>
      </c>
      <c r="C31" t="n">
        <v>857</v>
      </c>
      <c r="D31" t="n">
        <v>563</v>
      </c>
    </row>
    <row r="32">
      <c r="A32" s="2" t="n">
        <v>45839</v>
      </c>
      <c r="B32" t="n">
        <v>1731</v>
      </c>
      <c r="C32" t="n">
        <v>839</v>
      </c>
      <c r="D32" t="n">
        <v>574</v>
      </c>
    </row>
    <row r="33">
      <c r="A33" s="2" t="n">
        <v>45870</v>
      </c>
      <c r="B33" t="n">
        <v>1675</v>
      </c>
      <c r="C33" t="n">
        <v>773</v>
      </c>
      <c r="D33" t="n">
        <v>579</v>
      </c>
    </row>
    <row r="34">
      <c r="A34" s="2" t="n">
        <v>45901</v>
      </c>
      <c r="B34" t="n">
        <v>1581</v>
      </c>
      <c r="C34" t="n">
        <v>751</v>
      </c>
      <c r="D34" t="n">
        <v>514</v>
      </c>
    </row>
    <row r="35">
      <c r="A35" s="2" t="n">
        <v>45931</v>
      </c>
      <c r="B35" t="n">
        <v>1613</v>
      </c>
      <c r="C35" t="n">
        <v>730</v>
      </c>
      <c r="D35" t="n">
        <v>540</v>
      </c>
    </row>
    <row r="36">
      <c r="A36" s="2" t="n">
        <v>45962</v>
      </c>
      <c r="B36" t="n">
        <v>1589</v>
      </c>
      <c r="C36" t="n">
        <v>759</v>
      </c>
      <c r="D36" t="n">
        <v>530</v>
      </c>
    </row>
    <row r="37">
      <c r="A37" s="2" t="n">
        <v>45992</v>
      </c>
      <c r="B37" t="n">
        <v>1708</v>
      </c>
      <c r="C37" t="n">
        <v>795</v>
      </c>
      <c r="D37" t="n">
        <v>613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FY26 Demand Forecast (statistical)</t>
        </is>
      </c>
    </row>
    <row r="3">
      <c r="A3" s="1" t="inlineStr">
        <is>
          <t>Month</t>
        </is>
      </c>
      <c r="B3" s="1" t="inlineStr">
        <is>
          <t>SKU-A100 ETS</t>
        </is>
      </c>
      <c r="C3" s="1" t="inlineStr">
        <is>
          <t>SKU-B200 ETS</t>
        </is>
      </c>
      <c r="D3" s="1" t="inlineStr">
        <is>
          <t>SKU-C300 ETS</t>
        </is>
      </c>
      <c r="E3" s="1" t="inlineStr">
        <is>
          <t>SKU-A100 Linear</t>
        </is>
      </c>
      <c r="F3" s="1" t="inlineStr">
        <is>
          <t>SKU-B200 Linear</t>
        </is>
      </c>
      <c r="G3" s="1" t="inlineStr">
        <is>
          <t>SKU-C300 Linear</t>
        </is>
      </c>
      <c r="H3" s="1" t="inlineStr">
        <is>
          <t>Selected SKU Trend</t>
        </is>
      </c>
      <c r="I3" s="1" t="inlineStr">
        <is>
          <t>Selected 3M MA</t>
        </is>
      </c>
      <c r="K3" t="inlineStr">
        <is>
          <t>Next 12 periods</t>
        </is>
      </c>
    </row>
    <row r="4">
      <c r="A4" s="2" t="n">
        <v>46023</v>
      </c>
      <c r="B4" s="4">
        <f>_xlfn.FORECAST.ETS($A4,SKU_A100,Months,Params!$B$4,1)</f>
        <v>1683.4142857142858</v>
      </c>
      <c r="C4" s="4">
        <f>_xlfn.FORECAST.ETS($A4,SKU_B200,Months,Params!$B$4,1)</f>
        <v>786.3880952380953</v>
      </c>
      <c r="D4" s="4">
        <f>_xlfn.FORECAST.ETS($A4,SKU_C300,Months,Params!$B$4,1)</f>
        <v>534.7428571428572</v>
      </c>
      <c r="E4" s="4">
        <f>_xlfn.FORECAST.LINEAR($A4,SKU_A100,Months)</f>
        <v>1786.636507936508</v>
      </c>
      <c r="F4" s="4">
        <f>_xlfn.FORECAST.LINEAR($A4,SKU_B200,Months)</f>
        <v>830.6936507936508</v>
      </c>
      <c r="G4" s="4">
        <f>_xlfn.FORECAST.LINEAR($A4,SKU_C300,Months)</f>
        <v>589.4095238095239</v>
      </c>
      <c r="H4" s="4">
        <f>TREND(INDIRECT(SUBSTITUTE(SelectedSKU,"-","_")),Months,$A4)</f>
        <v>1786.636507936508</v>
      </c>
      <c r="I4" s="4">
        <f>AVERAGE(OFFSET(INDEX(History!$B:$D,COUNTA(History!$A:$A),MATCH(SelectedSKU,History!$B$1:$D$1,0)),-2,0,3,1))</f>
        <v>1636.6666666666667</v>
      </c>
      <c r="K4">
        <f>_xlfn._xlws.SORT(_xlfn.SEQUENCE(12,1,1,1),1,-1)</f>
        <v>12</v>
      </c>
    </row>
    <row r="5">
      <c r="A5" s="2" t="n">
        <v>46054</v>
      </c>
      <c r="B5" s="4">
        <f>_xlfn.FORECAST.ETS($A5,SKU_A100,Months,Params!$B$4,1)</f>
        <v>1839.1033462033463</v>
      </c>
      <c r="C5" s="4">
        <f>_xlfn.FORECAST.ETS($A5,SKU_B200,Months,Params!$B$4,1)</f>
        <v>853.039703989704</v>
      </c>
      <c r="D5" s="4">
        <f>_xlfn.FORECAST.ETS($A5,SKU_C300,Months,Params!$B$4,1)</f>
        <v>593.5758043758043</v>
      </c>
      <c r="E5" s="4">
        <f>_xlfn.FORECAST.LINEAR($A5,SKU_A100,Months)</f>
        <v>1801.3255684255685</v>
      </c>
      <c r="F5" s="4">
        <f>_xlfn.FORECAST.LINEAR($A5,SKU_B200,Months)</f>
        <v>835.3452595452595</v>
      </c>
      <c r="G5" s="4">
        <f>_xlfn.FORECAST.LINEAR($A5,SKU_C300,Months)</f>
        <v>596.9091377091377</v>
      </c>
      <c r="H5" s="4">
        <f>TREND(INDIRECT(SUBSTITUTE(SelectedSKU,"-","_")),Months,$A5)</f>
        <v>1801.3255684255685</v>
      </c>
      <c r="I5" s="4">
        <f>AVERAGE(OFFSET(INDEX(History!$B:$D,COUNTA(History!$A:$A),MATCH(SelectedSKU,History!$B$1:$D$1,0)),-2,0,3,1))</f>
        <v>1636.6666666666667</v>
      </c>
    </row>
    <row r="6">
      <c r="A6" s="2" t="n">
        <v>46082</v>
      </c>
      <c r="B6" s="4">
        <f>_xlfn.FORECAST.ETS($A6,SKU_A100,Months,Params!$B$4,1)</f>
        <v>1960.4590733590733</v>
      </c>
      <c r="C6" s="4">
        <f>_xlfn.FORECAST.ETS($A6,SKU_B200,Months,Params!$B$4,1)</f>
        <v>907.6913127413128</v>
      </c>
      <c r="D6" s="4">
        <f>_xlfn.FORECAST.ETS($A6,SKU_C300,Months,Params!$B$4,1)</f>
        <v>616.4087516087516</v>
      </c>
      <c r="E6" s="4">
        <f>_xlfn.FORECAST.LINEAR($A6,SKU_A100,Months)</f>
        <v>1816.014628914629</v>
      </c>
      <c r="F6" s="4">
        <f>_xlfn.FORECAST.LINEAR($A6,SKU_B200,Months)</f>
        <v>839.9968682968683</v>
      </c>
      <c r="G6" s="4">
        <f>_xlfn.FORECAST.LINEAR($A6,SKU_C300,Months)</f>
        <v>604.4087516087516</v>
      </c>
      <c r="H6" s="4">
        <f>TREND(INDIRECT(SUBSTITUTE(SelectedSKU,"-","_")),Months,$A6)</f>
        <v>1816.014628914629</v>
      </c>
      <c r="I6" s="4">
        <f>AVERAGE(OFFSET(INDEX(History!$B:$D,COUNTA(History!$A:$A),MATCH(SelectedSKU,History!$B$1:$D$1,0)),-2,0,3,1))</f>
        <v>1636.6666666666667</v>
      </c>
    </row>
    <row r="7">
      <c r="A7" s="2" t="n">
        <v>46113</v>
      </c>
      <c r="B7" s="4">
        <f>_xlfn.FORECAST.ETS($A7,SKU_A100,Months,Params!$B$4,1)</f>
        <v>1990.8148005148005</v>
      </c>
      <c r="C7" s="4">
        <f>_xlfn.FORECAST.ETS($A7,SKU_B200,Months,Params!$B$4,1)</f>
        <v>961.6762548262548</v>
      </c>
      <c r="D7" s="4">
        <f>_xlfn.FORECAST.ETS($A7,SKU_C300,Months,Params!$B$4,1)</f>
        <v>643.2416988416987</v>
      </c>
      <c r="E7" s="4">
        <f>_xlfn.FORECAST.LINEAR($A7,SKU_A100,Months)</f>
        <v>1830.7036894036894</v>
      </c>
      <c r="F7" s="4">
        <f>_xlfn.FORECAST.LINEAR($A7,SKU_B200,Months)</f>
        <v>844.648477048477</v>
      </c>
      <c r="G7" s="4">
        <f>_xlfn.FORECAST.LINEAR($A7,SKU_C300,Months)</f>
        <v>611.9083655083655</v>
      </c>
      <c r="H7" s="4">
        <f>TREND(INDIRECT(SUBSTITUTE(SelectedSKU,"-","_")),Months,$A7)</f>
        <v>1830.7036894036894</v>
      </c>
      <c r="I7" s="4">
        <f>AVERAGE(OFFSET(INDEX(History!$B:$D,COUNTA(History!$A:$A),MATCH(SelectedSKU,History!$B$1:$D$1,0)),-2,0,3,1))</f>
        <v>1636.6666666666667</v>
      </c>
    </row>
    <row r="8">
      <c r="A8" s="2" t="n">
        <v>46143</v>
      </c>
      <c r="B8" s="4">
        <f>_xlfn.FORECAST.ETS($A8,SKU_A100,Months,Params!$B$4,1)</f>
        <v>1995.503861003861</v>
      </c>
      <c r="C8" s="4">
        <f>_xlfn.FORECAST.ETS($A8,SKU_B200,Months,Params!$B$4,1)</f>
        <v>933.661196911197</v>
      </c>
      <c r="D8" s="4">
        <f>_xlfn.FORECAST.ETS($A8,SKU_C300,Months,Params!$B$4,1)</f>
        <v>668.074646074646</v>
      </c>
      <c r="E8" s="4">
        <f>_xlfn.FORECAST.LINEAR($A8,SKU_A100,Months)</f>
        <v>1845.3927498927499</v>
      </c>
      <c r="F8" s="4">
        <f>_xlfn.FORECAST.LINEAR($A8,SKU_B200,Months)</f>
        <v>849.3000858000859</v>
      </c>
      <c r="G8" s="4">
        <f>_xlfn.FORECAST.LINEAR($A8,SKU_C300,Months)</f>
        <v>619.4079794079794</v>
      </c>
      <c r="H8" s="4">
        <f>TREND(INDIRECT(SUBSTITUTE(SelectedSKU,"-","_")),Months,$A8)</f>
        <v>1845.3927498927499</v>
      </c>
      <c r="I8" s="4">
        <f>AVERAGE(OFFSET(INDEX(History!$B:$D,COUNTA(History!$A:$A),MATCH(SelectedSKU,History!$B$1:$D$1,0)),-2,0,3,1))</f>
        <v>1636.6666666666667</v>
      </c>
    </row>
    <row r="9">
      <c r="A9" s="2" t="n">
        <v>46174</v>
      </c>
      <c r="B9" s="4">
        <f>_xlfn.FORECAST.ETS($A9,SKU_A100,Months,Params!$B$4,1)</f>
        <v>1956.8595881595884</v>
      </c>
      <c r="C9" s="4">
        <f>_xlfn.FORECAST.ETS($A9,SKU_B200,Months,Params!$B$4,1)</f>
        <v>907.9794723294723</v>
      </c>
      <c r="D9" s="4">
        <f>_xlfn.FORECAST.ETS($A9,SKU_C300,Months,Params!$B$4,1)</f>
        <v>642.5742599742599</v>
      </c>
      <c r="E9" s="4">
        <f>_xlfn.FORECAST.LINEAR($A9,SKU_A100,Months)</f>
        <v>1860.0818103818106</v>
      </c>
      <c r="F9" s="4">
        <f>_xlfn.FORECAST.LINEAR($A9,SKU_B200,Months)</f>
        <v>853.9516945516946</v>
      </c>
      <c r="G9" s="4">
        <f>_xlfn.FORECAST.LINEAR($A9,SKU_C300,Months)</f>
        <v>626.9075933075933</v>
      </c>
      <c r="H9" s="4">
        <f>TREND(INDIRECT(SUBSTITUTE(SelectedSKU,"-","_")),Months,$A9)</f>
        <v>1860.0818103818106</v>
      </c>
      <c r="I9" s="4">
        <f>AVERAGE(OFFSET(INDEX(History!$B:$D,COUNTA(History!$A:$A),MATCH(SelectedSKU,History!$B$1:$D$1,0)),-2,0,3,1))</f>
        <v>1636.6666666666667</v>
      </c>
    </row>
    <row r="10">
      <c r="A10" s="2" t="n">
        <v>46204</v>
      </c>
      <c r="B10" s="4">
        <f>_xlfn.FORECAST.ETS($A10,SKU_A100,Months,Params!$B$4,1)</f>
        <v>1857.2153153153154</v>
      </c>
      <c r="C10" s="4">
        <f>_xlfn.FORECAST.ETS($A10,SKU_B200,Months,Params!$B$4,1)</f>
        <v>864.6310810810811</v>
      </c>
      <c r="D10" s="4">
        <f>_xlfn.FORECAST.ETS($A10,SKU_C300,Months,Params!$B$4,1)</f>
        <v>650.4072072072072</v>
      </c>
      <c r="E10" s="4">
        <f>_xlfn.FORECAST.LINEAR($A10,SKU_A100,Months)</f>
        <v>1874.770870870871</v>
      </c>
      <c r="F10" s="4">
        <f>_xlfn.FORECAST.LINEAR($A10,SKU_B200,Months)</f>
        <v>858.6033033033034</v>
      </c>
      <c r="G10" s="4">
        <f>_xlfn.FORECAST.LINEAR($A10,SKU_C300,Months)</f>
        <v>634.4072072072072</v>
      </c>
      <c r="H10" s="4">
        <f>TREND(INDIRECT(SUBSTITUTE(SelectedSKU,"-","_")),Months,$A10)</f>
        <v>1874.770870870871</v>
      </c>
      <c r="I10" s="4">
        <f>AVERAGE(OFFSET(INDEX(History!$B:$D,COUNTA(History!$A:$A),MATCH(SelectedSKU,History!$B$1:$D$1,0)),-2,0,3,1))</f>
        <v>1636.6666666666667</v>
      </c>
    </row>
    <row r="11">
      <c r="A11" s="2" t="n">
        <v>46235</v>
      </c>
      <c r="B11" s="4">
        <f>_xlfn.FORECAST.ETS($A11,SKU_A100,Months,Params!$B$4,1)</f>
        <v>1827.5710424710426</v>
      </c>
      <c r="C11" s="4">
        <f>_xlfn.FORECAST.ETS($A11,SKU_B200,Months,Params!$B$4,1)</f>
        <v>822.2826898326898</v>
      </c>
      <c r="D11" s="4">
        <f>_xlfn.FORECAST.ETS($A11,SKU_C300,Months,Params!$B$4,1)</f>
        <v>633.9068211068211</v>
      </c>
      <c r="E11" s="4">
        <f>_xlfn.FORECAST.LINEAR($A11,SKU_A100,Months)</f>
        <v>1889.4599313599315</v>
      </c>
      <c r="F11" s="4">
        <f>_xlfn.FORECAST.LINEAR($A11,SKU_B200,Months)</f>
        <v>863.2549120549121</v>
      </c>
      <c r="G11" s="4">
        <f>_xlfn.FORECAST.LINEAR($A11,SKU_C300,Months)</f>
        <v>641.9068211068211</v>
      </c>
      <c r="H11" s="4">
        <f>TREND(INDIRECT(SUBSTITUTE(SelectedSKU,"-","_")),Months,$A11)</f>
        <v>1889.4599313599315</v>
      </c>
      <c r="I11" s="4">
        <f>AVERAGE(OFFSET(INDEX(History!$B:$D,COUNTA(History!$A:$A),MATCH(SelectedSKU,History!$B$1:$D$1,0)),-2,0,3,1))</f>
        <v>1636.6666666666667</v>
      </c>
    </row>
    <row r="12">
      <c r="A12" s="2" t="n">
        <v>46266</v>
      </c>
      <c r="B12" s="4">
        <f>_xlfn.FORECAST.ETS($A12,SKU_A100,Months,Params!$B$4,1)</f>
        <v>1764.9267696267698</v>
      </c>
      <c r="C12" s="4">
        <f>_xlfn.FORECAST.ETS($A12,SKU_B200,Months,Params!$B$4,1)</f>
        <v>780.2676319176319</v>
      </c>
      <c r="D12" s="4">
        <f>_xlfn.FORECAST.ETS($A12,SKU_C300,Months,Params!$B$4,1)</f>
        <v>604.406435006435</v>
      </c>
      <c r="E12" s="4">
        <f>_xlfn.FORECAST.LINEAR($A12,SKU_A100,Months)</f>
        <v>1904.148991848992</v>
      </c>
      <c r="F12" s="4">
        <f>_xlfn.FORECAST.LINEAR($A12,SKU_B200,Months)</f>
        <v>867.9065208065208</v>
      </c>
      <c r="G12" s="4">
        <f>_xlfn.FORECAST.LINEAR($A12,SKU_C300,Months)</f>
        <v>649.406435006435</v>
      </c>
      <c r="H12" s="4">
        <f>TREND(INDIRECT(SUBSTITUTE(SelectedSKU,"-","_")),Months,$A12)</f>
        <v>1904.148991848992</v>
      </c>
      <c r="I12" s="4">
        <f>AVERAGE(OFFSET(INDEX(History!$B:$D,COUNTA(History!$A:$A),MATCH(SelectedSKU,History!$B$1:$D$1,0)),-2,0,3,1))</f>
        <v>1636.6666666666667</v>
      </c>
    </row>
    <row r="13">
      <c r="A13" s="2" t="n">
        <v>46296</v>
      </c>
      <c r="B13" s="4">
        <f>_xlfn.FORECAST.ETS($A13,SKU_A100,Months,Params!$B$4,1)</f>
        <v>1790.2824967824968</v>
      </c>
      <c r="C13" s="4">
        <f>_xlfn.FORECAST.ETS($A13,SKU_B200,Months,Params!$B$4,1)</f>
        <v>795.9192406692407</v>
      </c>
      <c r="D13" s="4">
        <f>_xlfn.FORECAST.ETS($A13,SKU_C300,Months,Params!$B$4,1)</f>
        <v>645.2393822393822</v>
      </c>
      <c r="E13" s="4">
        <f>_xlfn.FORECAST.LINEAR($A13,SKU_A100,Months)</f>
        <v>1918.8380523380524</v>
      </c>
      <c r="F13" s="4">
        <f>_xlfn.FORECAST.LINEAR($A13,SKU_B200,Months)</f>
        <v>872.5581295581296</v>
      </c>
      <c r="G13" s="4">
        <f>_xlfn.FORECAST.LINEAR($A13,SKU_C300,Months)</f>
        <v>656.9060489060489</v>
      </c>
      <c r="H13" s="4">
        <f>TREND(INDIRECT(SUBSTITUTE(SelectedSKU,"-","_")),Months,$A13)</f>
        <v>1918.8380523380524</v>
      </c>
      <c r="I13" s="4">
        <f>AVERAGE(OFFSET(INDEX(History!$B:$D,COUNTA(History!$A:$A),MATCH(SelectedSKU,History!$B$1:$D$1,0)),-2,0,3,1))</f>
        <v>1636.6666666666667</v>
      </c>
    </row>
    <row r="14">
      <c r="A14" s="2" t="n">
        <v>46327</v>
      </c>
      <c r="B14" s="4">
        <f>_xlfn.FORECAST.ETS($A14,SKU_A100,Months,Params!$B$4,1)</f>
        <v>1814.638223938224</v>
      </c>
      <c r="C14" s="4">
        <f>_xlfn.FORECAST.ETS($A14,SKU_B200,Months,Params!$B$4,1)</f>
        <v>801.5708494208494</v>
      </c>
      <c r="D14" s="4">
        <f>_xlfn.FORECAST.ETS($A14,SKU_C300,Months,Params!$B$4,1)</f>
        <v>636.0723294723294</v>
      </c>
      <c r="E14" s="4">
        <f>_xlfn.FORECAST.LINEAR($A14,SKU_A100,Months)</f>
        <v>1933.527112827113</v>
      </c>
      <c r="F14" s="4">
        <f>_xlfn.FORECAST.LINEAR($A14,SKU_B200,Months)</f>
        <v>877.2097383097383</v>
      </c>
      <c r="G14" s="4">
        <f>_xlfn.FORECAST.LINEAR($A14,SKU_C300,Months)</f>
        <v>664.4056628056628</v>
      </c>
      <c r="H14" s="4">
        <f>TREND(INDIRECT(SUBSTITUTE(SelectedSKU,"-","_")),Months,$A14)</f>
        <v>1933.527112827113</v>
      </c>
      <c r="I14" s="4">
        <f>AVERAGE(OFFSET(INDEX(History!$B:$D,COUNTA(History!$A:$A),MATCH(SelectedSKU,History!$B$1:$D$1,0)),-2,0,3,1))</f>
        <v>1636.6666666666667</v>
      </c>
    </row>
    <row r="15">
      <c r="A15" s="2" t="n">
        <v>46357</v>
      </c>
      <c r="B15" s="4">
        <f>_xlfn.FORECAST.ETS($A15,SKU_A100,Months,Params!$B$4,1)</f>
        <v>1928.3272844272844</v>
      </c>
      <c r="C15" s="4">
        <f>_xlfn.FORECAST.ETS($A15,SKU_B200,Months,Params!$B$4,1)</f>
        <v>860.2224581724581</v>
      </c>
      <c r="D15" s="4">
        <f>_xlfn.FORECAST.ETS($A15,SKU_C300,Months,Params!$B$4,1)</f>
        <v>699.23861003861</v>
      </c>
      <c r="E15" s="4">
        <f>_xlfn.FORECAST.LINEAR($A15,SKU_A100,Months)</f>
        <v>1948.2161733161734</v>
      </c>
      <c r="F15" s="4">
        <f>_xlfn.FORECAST.LINEAR($A15,SKU_B200,Months)</f>
        <v>881.861347061347</v>
      </c>
      <c r="G15" s="4">
        <f>_xlfn.FORECAST.LINEAR($A15,SKU_C300,Months)</f>
        <v>671.9052767052767</v>
      </c>
      <c r="H15" s="4">
        <f>TREND(INDIRECT(SUBSTITUTE(SelectedSKU,"-","_")),Months,$A15)</f>
        <v>1948.2161733161734</v>
      </c>
      <c r="I15" s="4">
        <f>AVERAGE(OFFSET(INDEX(History!$B:$D,COUNTA(History!$A:$A),MATCH(SelectedSKU,History!$B$1:$D$1,0)),-2,0,3,1))</f>
        <v>1636.6666666666667</v>
      </c>
    </row>
    <row r="18">
      <c r="A18" s="1" t="inlineStr">
        <is>
          <t>SKU</t>
        </is>
      </c>
      <c r="B18" s="1" t="inlineStr">
        <is>
          <t>FY26 ETS Total</t>
        </is>
      </c>
      <c r="C18" s="1" t="inlineStr">
        <is>
          <t>Std Dev (36m)</t>
        </is>
      </c>
      <c r="D18" s="1" t="inlineStr">
        <is>
          <t>Safety Stock</t>
        </is>
      </c>
      <c r="E18" s="1" t="inlineStr">
        <is>
          <t>Reorder Point</t>
        </is>
      </c>
    </row>
    <row r="19">
      <c r="A19" t="inlineStr">
        <is>
          <t>SKU-A100</t>
        </is>
      </c>
      <c r="B19" s="4">
        <f>SUM(B4:B15)</f>
        <v>22409.11608751609</v>
      </c>
      <c r="C19" s="5">
        <f>_xlfn.STDEV.S(SKU_A100)</f>
        <v>216.3471783668592</v>
      </c>
      <c r="D19" s="4">
        <f>_xlfn.NORM.S.INV(Params!$B$5)*C19*SQRT(Params!$B$6)</f>
        <v>503.26123953927737</v>
      </c>
      <c r="E19" s="4">
        <f>B19/12*Params!$B$6+D19</f>
        <v>4238.113920791959</v>
      </c>
    </row>
    <row r="20">
      <c r="A20" t="inlineStr">
        <is>
          <t>SKU-B200</t>
        </is>
      </c>
      <c r="B20" s="4">
        <f>SUM(C4:C15)</f>
        <v>10275.329987129988</v>
      </c>
      <c r="C20" s="5">
        <f>_xlfn.STDEV.S(SKU_B200)</f>
        <v>94.79124515866515</v>
      </c>
      <c r="D20" s="4">
        <f>_xlfn.NORM.S.INV(Params!$B$5)*C20*SQRT(Params!$B$6)</f>
        <v>220.50095543713795</v>
      </c>
      <c r="E20" s="4">
        <f>B20/12*Params!$B$6+D20</f>
        <v>1933.0559532921359</v>
      </c>
    </row>
    <row r="21">
      <c r="A21" t="inlineStr">
        <is>
          <t>SKU-C300</t>
        </is>
      </c>
      <c r="B21" s="4">
        <f>SUM(D4:D15)</f>
        <v>7567.888803088802</v>
      </c>
      <c r="C21" s="5">
        <f>_xlfn.STDEV.S(SKU_C300)</f>
        <v>90.89428710634914</v>
      </c>
      <c r="D21" s="4">
        <f>_xlfn.NORM.S.INV(Params!$B$5)*C21*SQRT(Params!$B$6)</f>
        <v>211.43595188753977</v>
      </c>
      <c r="E21" s="4">
        <f>B21/12*Params!$B$6+D21</f>
        <v>1472.75075240234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Parameters</t>
        </is>
      </c>
    </row>
    <row r="3">
      <c r="A3" t="inlineStr">
        <is>
          <t>Selected SKU</t>
        </is>
      </c>
      <c r="B3" t="inlineStr">
        <is>
          <t>SKU-A100</t>
        </is>
      </c>
    </row>
    <row r="4">
      <c r="A4" t="inlineStr">
        <is>
          <t>Seasonality (months)</t>
        </is>
      </c>
      <c r="B4" t="n">
        <v>12</v>
      </c>
    </row>
    <row r="5">
      <c r="A5" t="inlineStr">
        <is>
          <t>Service level</t>
        </is>
      </c>
      <c r="B5" t="n">
        <v>0.95</v>
      </c>
    </row>
    <row r="6">
      <c r="A6" t="inlineStr">
        <is>
          <t>Lead time (months)</t>
        </is>
      </c>
      <c r="B6" t="n">
        <v>2</v>
      </c>
    </row>
  </sheetData>
  <dataValidations count="1">
    <dataValidation sqref="B3" showDropDown="0" showInputMessage="0" showErrorMessage="0" allowBlank="0" type="list">
      <formula1>"SKU-A100,SKU-B200,SKU-C300"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2026-10-20T15:39:10Z</dcterms:created>
  <dcterms:modified xsi:type="dcterms:W3CDTF">2026-10-20T15:39:10Z</dcterms:modified>
</cp:coreProperties>
</file>