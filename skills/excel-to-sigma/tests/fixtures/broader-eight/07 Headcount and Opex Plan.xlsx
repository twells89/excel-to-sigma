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Assumptions" sheetId="2" state="visible" r:id="rId2"/>
    <sheet name="Monthly Cost" sheetId="3" state="visible" r:id="rId3"/>
    <sheet name="Dept Budget" sheetId="4" state="visible" r:id="rId4"/>
    <sheet name="Var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;[Red](#,##0)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17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FY26 Plan vs Budget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'Variance'!B3</f>
            </strRef>
          </tx>
          <spPr>
            <a:ln>
              <a:prstDash val="solid"/>
            </a:ln>
          </spPr>
          <cat>
            <numRef>
              <f>'Variance'!$A$4:$A$8</f>
            </numRef>
          </cat>
          <val>
            <numRef>
              <f>'Variance'!$B$4:$B$8</f>
            </numRef>
          </val>
        </ser>
        <ser>
          <idx val="1"/>
          <order val="1"/>
          <tx>
            <strRef>
              <f>'Variance'!C3</f>
            </strRef>
          </tx>
          <spPr>
            <a:ln>
              <a:prstDash val="solid"/>
            </a:ln>
          </spPr>
          <cat>
            <numRef>
              <f>'Variance'!$A$4:$A$8</f>
            </numRef>
          </cat>
          <val>
            <numRef>
              <f>'Variance'!$C$4:$C$8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Roster" displayName="tblRoster" ref="A1:H41" headerRowCount="1">
  <autoFilter ref="A1:H41"/>
  <tableColumns count="8">
    <tableColumn id="1" name="Emp ID"/>
    <tableColumn id="2" name="Name"/>
    <tableColumn id="3" name="Department"/>
    <tableColumn id="4" name="Role"/>
    <tableColumn id="5" name="Start Date"/>
    <tableColumn id="6" name="End Date"/>
    <tableColumn id="7" name="Annual Salary"/>
    <tableColumn id="8" name="Status"/>
  </tableColumns>
  <tableStyleInfo name="TableStyleMedium2" showRowStripes="1"/>
</table>
</file>

<file path=xl/tables/table2.xml><?xml version="1.0" encoding="utf-8"?>
<table xmlns="http://schemas.openxmlformats.org/spreadsheetml/2006/main" id="2" name="tblDeptBudget" displayName="tblDeptBudget" ref="A1:M6" headerRowCount="1">
  <autoFilter ref="A1:M6"/>
  <tableColumns count="13">
    <tableColumn id="1" name="Department"/>
    <tableColumn id="2" name="Jan"/>
    <tableColumn id="3" name="Feb"/>
    <tableColumn id="4" name="Mar"/>
    <tableColumn id="5" name="Apr"/>
    <tableColumn id="6" name="May"/>
    <tableColumn id="7" name="Jun"/>
    <tableColumn id="8" name="Jul"/>
    <tableColumn id="9" name="Aug"/>
    <tableColumn id="10" name="Sep"/>
    <tableColumn id="11" name="Oct"/>
    <tableColumn id="12" name="Nov"/>
    <tableColumn id="13" name="Dec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Annual Salary</t>
        </is>
      </c>
      <c r="H1" s="1" t="inlineStr">
        <is>
          <t>Status</t>
        </is>
      </c>
    </row>
    <row r="2">
      <c r="A2" t="inlineStr">
        <is>
          <t>E102</t>
        </is>
      </c>
      <c r="B2" t="inlineStr">
        <is>
          <t>Employee 2</t>
        </is>
      </c>
      <c r="C2" t="inlineStr">
        <is>
          <t>Support</t>
        </is>
      </c>
      <c r="D2" t="inlineStr">
        <is>
          <t>Lead</t>
        </is>
      </c>
      <c r="E2" s="2" t="n">
        <v>44256</v>
      </c>
      <c r="F2" s="2" t="n"/>
      <c r="G2" t="n">
        <v>171000</v>
      </c>
      <c r="H2" t="inlineStr">
        <is>
          <t>Hired</t>
        </is>
      </c>
    </row>
    <row r="3">
      <c r="A3" t="inlineStr">
        <is>
          <t>E103</t>
        </is>
      </c>
      <c r="B3" t="inlineStr">
        <is>
          <t>Employee 3</t>
        </is>
      </c>
      <c r="C3" t="inlineStr">
        <is>
          <t>Sales</t>
        </is>
      </c>
      <c r="D3" t="inlineStr">
        <is>
          <t>IC</t>
        </is>
      </c>
      <c r="E3" s="2" t="n">
        <v>43497</v>
      </c>
      <c r="F3" s="2" t="n"/>
      <c r="G3" t="n">
        <v>207000</v>
      </c>
      <c r="H3" t="inlineStr">
        <is>
          <t>Hired</t>
        </is>
      </c>
    </row>
    <row r="4">
      <c r="A4" t="inlineStr">
        <is>
          <t>E104</t>
        </is>
      </c>
      <c r="B4" t="inlineStr">
        <is>
          <t>Employee 4</t>
        </is>
      </c>
      <c r="C4" t="inlineStr">
        <is>
          <t>G&amp;A</t>
        </is>
      </c>
      <c r="D4" t="inlineStr">
        <is>
          <t>Lead</t>
        </is>
      </c>
      <c r="E4" s="2" t="n">
        <v>44470</v>
      </c>
      <c r="F4" s="2" t="n"/>
      <c r="G4" t="n">
        <v>84000</v>
      </c>
      <c r="H4" t="inlineStr">
        <is>
          <t>Hired</t>
        </is>
      </c>
    </row>
    <row r="5">
      <c r="A5" t="inlineStr">
        <is>
          <t>E105</t>
        </is>
      </c>
      <c r="B5" t="inlineStr">
        <is>
          <t>Employee 5</t>
        </is>
      </c>
      <c r="C5" t="inlineStr">
        <is>
          <t>Engineering</t>
        </is>
      </c>
      <c r="D5" t="inlineStr">
        <is>
          <t>Manager</t>
        </is>
      </c>
      <c r="E5" s="2" t="n">
        <v>43831</v>
      </c>
      <c r="F5" s="2" t="n"/>
      <c r="G5" t="n">
        <v>92000</v>
      </c>
      <c r="H5" t="inlineStr">
        <is>
          <t>Hired</t>
        </is>
      </c>
    </row>
    <row r="6">
      <c r="A6" t="inlineStr">
        <is>
          <t>E106</t>
        </is>
      </c>
      <c r="B6" t="inlineStr">
        <is>
          <t>Employee 6</t>
        </is>
      </c>
      <c r="C6" t="inlineStr">
        <is>
          <t>Marketing</t>
        </is>
      </c>
      <c r="D6" t="inlineStr">
        <is>
          <t>IC</t>
        </is>
      </c>
      <c r="E6" s="2" t="n">
        <v>44593</v>
      </c>
      <c r="F6" s="2" t="n"/>
      <c r="G6" t="n">
        <v>131000</v>
      </c>
      <c r="H6" t="inlineStr">
        <is>
          <t>Hired</t>
        </is>
      </c>
    </row>
    <row r="7">
      <c r="A7" t="inlineStr">
        <is>
          <t>E107</t>
        </is>
      </c>
      <c r="B7" t="inlineStr">
        <is>
          <t>Employee 7</t>
        </is>
      </c>
      <c r="C7" t="inlineStr">
        <is>
          <t>Support</t>
        </is>
      </c>
      <c r="D7" t="inlineStr">
        <is>
          <t>Lead</t>
        </is>
      </c>
      <c r="E7" s="2" t="n">
        <v>45108</v>
      </c>
      <c r="F7" s="2" t="n"/>
      <c r="G7" t="n">
        <v>85000</v>
      </c>
      <c r="H7" t="inlineStr">
        <is>
          <t>Hired</t>
        </is>
      </c>
    </row>
    <row r="8">
      <c r="A8" t="inlineStr">
        <is>
          <t>E108</t>
        </is>
      </c>
      <c r="B8" t="inlineStr">
        <is>
          <t>Employee 8</t>
        </is>
      </c>
      <c r="C8" t="inlineStr">
        <is>
          <t>Sales</t>
        </is>
      </c>
      <c r="D8" t="inlineStr">
        <is>
          <t>Lead</t>
        </is>
      </c>
      <c r="E8" s="2" t="n">
        <v>43556</v>
      </c>
      <c r="F8" s="2" t="n"/>
      <c r="G8" t="n">
        <v>85000</v>
      </c>
      <c r="H8" t="inlineStr">
        <is>
          <t>Hired</t>
        </is>
      </c>
    </row>
    <row r="9">
      <c r="A9" t="inlineStr">
        <is>
          <t>E109</t>
        </is>
      </c>
      <c r="B9" t="inlineStr">
        <is>
          <t>Employee 9</t>
        </is>
      </c>
      <c r="C9" t="inlineStr">
        <is>
          <t>G&amp;A</t>
        </is>
      </c>
      <c r="D9" t="inlineStr">
        <is>
          <t>IC</t>
        </is>
      </c>
      <c r="E9" s="2" t="n">
        <v>45108</v>
      </c>
      <c r="F9" s="2" t="n"/>
      <c r="G9" t="n">
        <v>82000</v>
      </c>
      <c r="H9" t="inlineStr">
        <is>
          <t>Hired</t>
        </is>
      </c>
    </row>
    <row r="10">
      <c r="A10" t="inlineStr">
        <is>
          <t>E110</t>
        </is>
      </c>
      <c r="B10" t="inlineStr">
        <is>
          <t>Employee 10</t>
        </is>
      </c>
      <c r="C10" t="inlineStr">
        <is>
          <t>Engineering</t>
        </is>
      </c>
      <c r="D10" t="inlineStr">
        <is>
          <t>Manager</t>
        </is>
      </c>
      <c r="E10" s="2" t="n">
        <v>43709</v>
      </c>
      <c r="F10" s="2" t="n"/>
      <c r="G10" t="n">
        <v>104000</v>
      </c>
      <c r="H10" t="inlineStr">
        <is>
          <t>Hired</t>
        </is>
      </c>
    </row>
    <row r="11">
      <c r="A11" t="inlineStr">
        <is>
          <t>E111</t>
        </is>
      </c>
      <c r="B11" t="inlineStr">
        <is>
          <t>Employee 11</t>
        </is>
      </c>
      <c r="C11" t="inlineStr">
        <is>
          <t>Marketing</t>
        </is>
      </c>
      <c r="D11" t="inlineStr">
        <is>
          <t>Lead</t>
        </is>
      </c>
      <c r="E11" s="2" t="n">
        <v>44621</v>
      </c>
      <c r="F11" s="2" t="n">
        <v>46280</v>
      </c>
      <c r="G11" t="n">
        <v>100000</v>
      </c>
      <c r="H11" t="inlineStr">
        <is>
          <t>Hired</t>
        </is>
      </c>
    </row>
    <row r="12">
      <c r="A12" t="inlineStr">
        <is>
          <t>E112</t>
        </is>
      </c>
      <c r="B12" t="inlineStr">
        <is>
          <t>Employee 12</t>
        </is>
      </c>
      <c r="C12" t="inlineStr">
        <is>
          <t>Support</t>
        </is>
      </c>
      <c r="D12" t="inlineStr">
        <is>
          <t>IC</t>
        </is>
      </c>
      <c r="E12" s="2" t="n">
        <v>44440</v>
      </c>
      <c r="F12" s="2" t="n"/>
      <c r="G12" t="n">
        <v>116000</v>
      </c>
      <c r="H12" t="inlineStr">
        <is>
          <t>Hired</t>
        </is>
      </c>
    </row>
    <row r="13">
      <c r="A13" t="inlineStr">
        <is>
          <t>E113</t>
        </is>
      </c>
      <c r="B13" t="inlineStr">
        <is>
          <t>Employee 13</t>
        </is>
      </c>
      <c r="C13" t="inlineStr">
        <is>
          <t>Sales</t>
        </is>
      </c>
      <c r="D13" t="inlineStr">
        <is>
          <t>Manager</t>
        </is>
      </c>
      <c r="E13" s="2" t="n">
        <v>45200</v>
      </c>
      <c r="F13" s="2" t="n"/>
      <c r="G13" t="n">
        <v>118000</v>
      </c>
      <c r="H13" t="inlineStr">
        <is>
          <t>Hired</t>
        </is>
      </c>
    </row>
    <row r="14">
      <c r="A14" t="inlineStr">
        <is>
          <t>E114</t>
        </is>
      </c>
      <c r="B14" t="inlineStr">
        <is>
          <t>Employee 14</t>
        </is>
      </c>
      <c r="C14" t="inlineStr">
        <is>
          <t>G&amp;A</t>
        </is>
      </c>
      <c r="D14" t="inlineStr">
        <is>
          <t>Lead</t>
        </is>
      </c>
      <c r="E14" s="2" t="n">
        <v>43709</v>
      </c>
      <c r="F14" s="2" t="n"/>
      <c r="G14" t="n">
        <v>86000</v>
      </c>
      <c r="H14" t="inlineStr">
        <is>
          <t>Hired</t>
        </is>
      </c>
    </row>
    <row r="15">
      <c r="A15" t="inlineStr">
        <is>
          <t>E115</t>
        </is>
      </c>
      <c r="B15" t="inlineStr">
        <is>
          <t>Employee 15</t>
        </is>
      </c>
      <c r="C15" t="inlineStr">
        <is>
          <t>Engineering</t>
        </is>
      </c>
      <c r="D15" t="inlineStr">
        <is>
          <t>Manager</t>
        </is>
      </c>
      <c r="E15" s="2" t="n">
        <v>43739</v>
      </c>
      <c r="F15" s="2" t="n"/>
      <c r="G15" t="n">
        <v>122000</v>
      </c>
      <c r="H15" t="inlineStr">
        <is>
          <t>Hired</t>
        </is>
      </c>
    </row>
    <row r="16">
      <c r="A16" t="inlineStr">
        <is>
          <t>E116</t>
        </is>
      </c>
      <c r="B16" t="inlineStr">
        <is>
          <t>Employee 16</t>
        </is>
      </c>
      <c r="C16" t="inlineStr">
        <is>
          <t>Marketing</t>
        </is>
      </c>
      <c r="D16" t="inlineStr">
        <is>
          <t>Manager</t>
        </is>
      </c>
      <c r="E16" s="2" t="n">
        <v>45536</v>
      </c>
      <c r="F16" s="2" t="n"/>
      <c r="G16" t="n">
        <v>179000</v>
      </c>
      <c r="H16" t="inlineStr">
        <is>
          <t>Hired</t>
        </is>
      </c>
    </row>
    <row r="17">
      <c r="A17" t="inlineStr">
        <is>
          <t>E117</t>
        </is>
      </c>
      <c r="B17" t="inlineStr">
        <is>
          <t>Employee 17</t>
        </is>
      </c>
      <c r="C17" t="inlineStr">
        <is>
          <t>Support</t>
        </is>
      </c>
      <c r="D17" t="inlineStr">
        <is>
          <t>Manager</t>
        </is>
      </c>
      <c r="E17" s="2" t="n">
        <v>44835</v>
      </c>
      <c r="F17" s="2" t="n"/>
      <c r="G17" t="n">
        <v>186000</v>
      </c>
      <c r="H17" t="inlineStr">
        <is>
          <t>Hired</t>
        </is>
      </c>
    </row>
    <row r="18">
      <c r="A18" t="inlineStr">
        <is>
          <t>E118</t>
        </is>
      </c>
      <c r="B18" t="inlineStr">
        <is>
          <t>Employee 18</t>
        </is>
      </c>
      <c r="C18" t="inlineStr">
        <is>
          <t>Sales</t>
        </is>
      </c>
      <c r="D18" t="inlineStr">
        <is>
          <t>Lead</t>
        </is>
      </c>
      <c r="E18" s="2" t="n">
        <v>44287</v>
      </c>
      <c r="F18" s="2" t="n"/>
      <c r="G18" t="n">
        <v>116000</v>
      </c>
      <c r="H18" t="inlineStr">
        <is>
          <t>Hired</t>
        </is>
      </c>
    </row>
    <row r="19">
      <c r="A19" t="inlineStr">
        <is>
          <t>E119</t>
        </is>
      </c>
      <c r="B19" t="inlineStr">
        <is>
          <t>Employee 19</t>
        </is>
      </c>
      <c r="C19" t="inlineStr">
        <is>
          <t>G&amp;A</t>
        </is>
      </c>
      <c r="D19" t="inlineStr">
        <is>
          <t>Lead</t>
        </is>
      </c>
      <c r="E19" s="2" t="n">
        <v>45748</v>
      </c>
      <c r="F19" s="2" t="n"/>
      <c r="G19" t="n">
        <v>90000</v>
      </c>
      <c r="H19" t="inlineStr">
        <is>
          <t>Hired</t>
        </is>
      </c>
    </row>
    <row r="20">
      <c r="A20" t="inlineStr">
        <is>
          <t>E120</t>
        </is>
      </c>
      <c r="B20" t="inlineStr">
        <is>
          <t>Employee 20</t>
        </is>
      </c>
      <c r="C20" t="inlineStr">
        <is>
          <t>Engineering</t>
        </is>
      </c>
      <c r="D20" t="inlineStr">
        <is>
          <t>Manager</t>
        </is>
      </c>
      <c r="E20" s="2" t="n">
        <v>44440</v>
      </c>
      <c r="F20" s="2" t="n"/>
      <c r="G20" t="n">
        <v>196000</v>
      </c>
      <c r="H20" t="inlineStr">
        <is>
          <t>Hired</t>
        </is>
      </c>
    </row>
    <row r="21">
      <c r="A21" t="inlineStr">
        <is>
          <t>E121</t>
        </is>
      </c>
      <c r="B21" t="inlineStr">
        <is>
          <t>Employee 21</t>
        </is>
      </c>
      <c r="C21" t="inlineStr">
        <is>
          <t>Marketing</t>
        </is>
      </c>
      <c r="D21" t="inlineStr">
        <is>
          <t>Lead</t>
        </is>
      </c>
      <c r="E21" s="2" t="n">
        <v>45505</v>
      </c>
      <c r="F21" s="2" t="n"/>
      <c r="G21" t="n">
        <v>143000</v>
      </c>
      <c r="H21" t="inlineStr">
        <is>
          <t>Hired</t>
        </is>
      </c>
    </row>
    <row r="22">
      <c r="A22" t="inlineStr">
        <is>
          <t>E122</t>
        </is>
      </c>
      <c r="B22" t="inlineStr">
        <is>
          <t>Employee 22</t>
        </is>
      </c>
      <c r="C22" t="inlineStr">
        <is>
          <t>Support</t>
        </is>
      </c>
      <c r="D22" t="inlineStr">
        <is>
          <t>IC</t>
        </is>
      </c>
      <c r="E22" s="2" t="n">
        <v>43497</v>
      </c>
      <c r="F22" s="2" t="n">
        <v>46280</v>
      </c>
      <c r="G22" t="n">
        <v>177000</v>
      </c>
      <c r="H22" t="inlineStr">
        <is>
          <t>Hired</t>
        </is>
      </c>
    </row>
    <row r="23">
      <c r="A23" t="inlineStr">
        <is>
          <t>E123</t>
        </is>
      </c>
      <c r="B23" t="inlineStr">
        <is>
          <t>Employee 23</t>
        </is>
      </c>
      <c r="C23" t="inlineStr">
        <is>
          <t>Sales</t>
        </is>
      </c>
      <c r="D23" t="inlineStr">
        <is>
          <t>Manager</t>
        </is>
      </c>
      <c r="E23" s="2" t="n">
        <v>45809</v>
      </c>
      <c r="F23" s="2" t="n"/>
      <c r="G23" t="n">
        <v>108000</v>
      </c>
      <c r="H23" t="inlineStr">
        <is>
          <t>Hired</t>
        </is>
      </c>
    </row>
    <row r="24">
      <c r="A24" t="inlineStr">
        <is>
          <t>E124</t>
        </is>
      </c>
      <c r="B24" t="inlineStr">
        <is>
          <t>Employee 24</t>
        </is>
      </c>
      <c r="C24" t="inlineStr">
        <is>
          <t>G&amp;A</t>
        </is>
      </c>
      <c r="D24" t="inlineStr">
        <is>
          <t>Lead</t>
        </is>
      </c>
      <c r="E24" s="2" t="n">
        <v>44562</v>
      </c>
      <c r="F24" s="2" t="n"/>
      <c r="G24" t="n">
        <v>89000</v>
      </c>
      <c r="H24" t="inlineStr">
        <is>
          <t>Hired</t>
        </is>
      </c>
    </row>
    <row r="25">
      <c r="A25" t="inlineStr">
        <is>
          <t>E125</t>
        </is>
      </c>
      <c r="B25" t="inlineStr">
        <is>
          <t>Employee 25</t>
        </is>
      </c>
      <c r="C25" t="inlineStr">
        <is>
          <t>Engineering</t>
        </is>
      </c>
      <c r="D25" t="inlineStr">
        <is>
          <t>Lead</t>
        </is>
      </c>
      <c r="E25" s="2" t="n">
        <v>45078</v>
      </c>
      <c r="F25" s="2" t="n"/>
      <c r="G25" t="n">
        <v>157000</v>
      </c>
      <c r="H25" t="inlineStr">
        <is>
          <t>Hired</t>
        </is>
      </c>
    </row>
    <row r="26">
      <c r="A26" t="inlineStr">
        <is>
          <t>E126</t>
        </is>
      </c>
      <c r="B26" t="inlineStr">
        <is>
          <t>Employee 26</t>
        </is>
      </c>
      <c r="C26" t="inlineStr">
        <is>
          <t>Marketing</t>
        </is>
      </c>
      <c r="D26" t="inlineStr">
        <is>
          <t>Lead</t>
        </is>
      </c>
      <c r="E26" s="2" t="n">
        <v>44470</v>
      </c>
      <c r="F26" s="2" t="n"/>
      <c r="G26" t="n">
        <v>197000</v>
      </c>
      <c r="H26" t="inlineStr">
        <is>
          <t>Hired</t>
        </is>
      </c>
    </row>
    <row r="27">
      <c r="A27" t="inlineStr">
        <is>
          <t>E127</t>
        </is>
      </c>
      <c r="B27" t="inlineStr">
        <is>
          <t>Employee 27</t>
        </is>
      </c>
      <c r="C27" t="inlineStr">
        <is>
          <t>Support</t>
        </is>
      </c>
      <c r="D27" t="inlineStr">
        <is>
          <t>IC</t>
        </is>
      </c>
      <c r="E27" s="2" t="n">
        <v>45870</v>
      </c>
      <c r="F27" s="2" t="n"/>
      <c r="G27" t="n">
        <v>87000</v>
      </c>
      <c r="H27" t="inlineStr">
        <is>
          <t>Hired</t>
        </is>
      </c>
    </row>
    <row r="28">
      <c r="A28" t="inlineStr">
        <is>
          <t>E128</t>
        </is>
      </c>
      <c r="B28" t="inlineStr">
        <is>
          <t>Employee 28</t>
        </is>
      </c>
      <c r="C28" t="inlineStr">
        <is>
          <t>Sales</t>
        </is>
      </c>
      <c r="D28" t="inlineStr">
        <is>
          <t>IC</t>
        </is>
      </c>
      <c r="E28" s="2" t="n">
        <v>44409</v>
      </c>
      <c r="F28" s="2" t="n"/>
      <c r="G28" t="n">
        <v>86000</v>
      </c>
      <c r="H28" t="inlineStr">
        <is>
          <t>Hired</t>
        </is>
      </c>
    </row>
    <row r="29">
      <c r="A29" t="inlineStr">
        <is>
          <t>E129</t>
        </is>
      </c>
      <c r="B29" t="inlineStr">
        <is>
          <t>Employee 29</t>
        </is>
      </c>
      <c r="C29" t="inlineStr">
        <is>
          <t>G&amp;A</t>
        </is>
      </c>
      <c r="D29" t="inlineStr">
        <is>
          <t>Lead</t>
        </is>
      </c>
      <c r="E29" s="2" t="n">
        <v>45627</v>
      </c>
      <c r="F29" s="2" t="n"/>
      <c r="G29" t="n">
        <v>149000</v>
      </c>
      <c r="H29" t="inlineStr">
        <is>
          <t>Hired</t>
        </is>
      </c>
    </row>
    <row r="30">
      <c r="A30" t="inlineStr">
        <is>
          <t>E130</t>
        </is>
      </c>
      <c r="B30" t="inlineStr">
        <is>
          <t>Employee 30</t>
        </is>
      </c>
      <c r="C30" t="inlineStr">
        <is>
          <t>Engineering</t>
        </is>
      </c>
      <c r="D30" t="inlineStr">
        <is>
          <t>Manager</t>
        </is>
      </c>
      <c r="E30" s="2" t="n">
        <v>45231</v>
      </c>
      <c r="F30" s="2" t="n"/>
      <c r="G30" t="n">
        <v>184000</v>
      </c>
      <c r="H30" t="inlineStr">
        <is>
          <t>Hired</t>
        </is>
      </c>
    </row>
    <row r="31">
      <c r="A31" t="inlineStr">
        <is>
          <t>E131</t>
        </is>
      </c>
      <c r="B31" t="inlineStr">
        <is>
          <t>Employee 31</t>
        </is>
      </c>
      <c r="C31" t="inlineStr">
        <is>
          <t>Marketing</t>
        </is>
      </c>
      <c r="D31" t="inlineStr">
        <is>
          <t>IC</t>
        </is>
      </c>
      <c r="E31" s="2" t="n">
        <v>45474</v>
      </c>
      <c r="F31" s="2" t="n"/>
      <c r="G31" t="n">
        <v>158000</v>
      </c>
      <c r="H31" t="inlineStr">
        <is>
          <t>Hired</t>
        </is>
      </c>
    </row>
    <row r="32">
      <c r="A32" t="inlineStr">
        <is>
          <t>E132</t>
        </is>
      </c>
      <c r="B32" t="inlineStr">
        <is>
          <t>Employee 32</t>
        </is>
      </c>
      <c r="C32" t="inlineStr">
        <is>
          <t>Support</t>
        </is>
      </c>
      <c r="D32" t="inlineStr">
        <is>
          <t>Lead</t>
        </is>
      </c>
      <c r="E32" s="2" t="n">
        <v>44713</v>
      </c>
      <c r="F32" s="2" t="n"/>
      <c r="G32" t="n">
        <v>113000</v>
      </c>
      <c r="H32" t="inlineStr">
        <is>
          <t>Hired</t>
        </is>
      </c>
    </row>
    <row r="33">
      <c r="A33" t="inlineStr">
        <is>
          <t>E133</t>
        </is>
      </c>
      <c r="B33" t="inlineStr">
        <is>
          <t>Employee 33</t>
        </is>
      </c>
      <c r="C33" t="inlineStr">
        <is>
          <t>Sales</t>
        </is>
      </c>
      <c r="D33" t="inlineStr">
        <is>
          <t>Manager</t>
        </is>
      </c>
      <c r="E33" s="2" t="n">
        <v>43678</v>
      </c>
      <c r="F33" s="2" t="n">
        <v>46157</v>
      </c>
      <c r="G33" t="n">
        <v>125000</v>
      </c>
      <c r="H33" t="inlineStr">
        <is>
          <t>Hired</t>
        </is>
      </c>
    </row>
    <row r="34">
      <c r="A34" t="inlineStr">
        <is>
          <t>E134</t>
        </is>
      </c>
      <c r="B34" t="inlineStr">
        <is>
          <t>Open Req 34</t>
        </is>
      </c>
      <c r="C34" t="inlineStr">
        <is>
          <t>G&amp;A</t>
        </is>
      </c>
      <c r="D34" t="inlineStr">
        <is>
          <t>Manager</t>
        </is>
      </c>
      <c r="E34" s="2" t="n">
        <v>46113</v>
      </c>
      <c r="F34" s="2" t="n"/>
      <c r="G34" t="n">
        <v>133000</v>
      </c>
      <c r="H34" t="inlineStr">
        <is>
          <t>Open</t>
        </is>
      </c>
    </row>
    <row r="35">
      <c r="A35" t="inlineStr">
        <is>
          <t>E135</t>
        </is>
      </c>
      <c r="B35" t="inlineStr">
        <is>
          <t>Open Req 35</t>
        </is>
      </c>
      <c r="C35" t="inlineStr">
        <is>
          <t>Engineering</t>
        </is>
      </c>
      <c r="D35" t="inlineStr">
        <is>
          <t>IC</t>
        </is>
      </c>
      <c r="E35" s="2" t="n">
        <v>46235</v>
      </c>
      <c r="F35" s="2" t="n"/>
      <c r="G35" t="n">
        <v>197000</v>
      </c>
      <c r="H35" t="inlineStr">
        <is>
          <t>Open</t>
        </is>
      </c>
    </row>
    <row r="36">
      <c r="A36" t="inlineStr">
        <is>
          <t>E136</t>
        </is>
      </c>
      <c r="B36" t="inlineStr">
        <is>
          <t>Open Req 36</t>
        </is>
      </c>
      <c r="C36" t="inlineStr">
        <is>
          <t>Marketing</t>
        </is>
      </c>
      <c r="D36" t="inlineStr">
        <is>
          <t>Manager</t>
        </is>
      </c>
      <c r="E36" s="2" t="n">
        <v>46113</v>
      </c>
      <c r="F36" s="2" t="n"/>
      <c r="G36" t="n">
        <v>184000</v>
      </c>
      <c r="H36" t="inlineStr">
        <is>
          <t>Open</t>
        </is>
      </c>
    </row>
    <row r="37">
      <c r="A37" t="inlineStr">
        <is>
          <t>E137</t>
        </is>
      </c>
      <c r="B37" t="inlineStr">
        <is>
          <t>Open Req 37</t>
        </is>
      </c>
      <c r="C37" t="inlineStr">
        <is>
          <t>Support</t>
        </is>
      </c>
      <c r="D37" t="inlineStr">
        <is>
          <t>IC</t>
        </is>
      </c>
      <c r="E37" s="2" t="n">
        <v>46296</v>
      </c>
      <c r="F37" s="2" t="n"/>
      <c r="G37" t="n">
        <v>141000</v>
      </c>
      <c r="H37" t="inlineStr">
        <is>
          <t>Open</t>
        </is>
      </c>
    </row>
    <row r="38">
      <c r="A38" t="inlineStr">
        <is>
          <t>E138</t>
        </is>
      </c>
      <c r="B38" t="inlineStr">
        <is>
          <t>Open Req 38</t>
        </is>
      </c>
      <c r="C38" t="inlineStr">
        <is>
          <t>Sales</t>
        </is>
      </c>
      <c r="D38" t="inlineStr">
        <is>
          <t>Lead</t>
        </is>
      </c>
      <c r="E38" s="2" t="n">
        <v>46235</v>
      </c>
      <c r="F38" s="2" t="n"/>
      <c r="G38" t="n">
        <v>141000</v>
      </c>
      <c r="H38" t="inlineStr">
        <is>
          <t>Open</t>
        </is>
      </c>
    </row>
    <row r="39">
      <c r="A39" t="inlineStr">
        <is>
          <t>E139</t>
        </is>
      </c>
      <c r="B39" t="inlineStr">
        <is>
          <t>Open Req 39</t>
        </is>
      </c>
      <c r="C39" t="inlineStr">
        <is>
          <t>G&amp;A</t>
        </is>
      </c>
      <c r="D39" t="inlineStr">
        <is>
          <t>Lead</t>
        </is>
      </c>
      <c r="E39" s="2" t="n">
        <v>46235</v>
      </c>
      <c r="F39" s="2" t="n"/>
      <c r="G39" t="n">
        <v>161000</v>
      </c>
      <c r="H39" t="inlineStr">
        <is>
          <t>Open</t>
        </is>
      </c>
    </row>
    <row r="40">
      <c r="A40" t="inlineStr">
        <is>
          <t>E140</t>
        </is>
      </c>
      <c r="B40" t="inlineStr">
        <is>
          <t>Open Req 40</t>
        </is>
      </c>
      <c r="C40" t="inlineStr">
        <is>
          <t>Engineering</t>
        </is>
      </c>
      <c r="D40" t="inlineStr">
        <is>
          <t>IC</t>
        </is>
      </c>
      <c r="E40" s="2" t="n">
        <v>46235</v>
      </c>
      <c r="F40" s="2" t="n"/>
      <c r="G40" t="n">
        <v>129000</v>
      </c>
      <c r="H40" t="inlineStr">
        <is>
          <t>Open</t>
        </is>
      </c>
    </row>
    <row r="41">
      <c r="A41" t="inlineStr">
        <is>
          <t>E141</t>
        </is>
      </c>
      <c r="B41" t="inlineStr">
        <is>
          <t>Open Req 41</t>
        </is>
      </c>
      <c r="C41" t="inlineStr">
        <is>
          <t>Marketing</t>
        </is>
      </c>
      <c r="D41" t="inlineStr">
        <is>
          <t>IC</t>
        </is>
      </c>
      <c r="E41" s="2" t="n">
        <v>46082</v>
      </c>
      <c r="F41" s="2" t="n"/>
      <c r="G41" t="n">
        <v>115000</v>
      </c>
      <c r="H41" t="inlineStr">
        <is>
          <t>Open</t>
        </is>
      </c>
    </row>
  </sheetData>
  <dataValidations count="2">
    <dataValidation sqref="C2:C41" showDropDown="0" showInputMessage="0" showErrorMessage="0" allowBlank="0" type="list">
      <formula1>"Engineering,Sales,Marketing,G&amp;A,Support"</formula1>
    </dataValidation>
    <dataValidation sqref="H2:H41" showDropDown="0" showInputMessage="0" showErrorMessage="0" allowBlank="0" type="list">
      <formula1>"Hired,Open"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Headcount cost assumptions</t>
        </is>
      </c>
    </row>
    <row r="3">
      <c r="A3" t="inlineStr">
        <is>
          <t>Benefits load</t>
        </is>
      </c>
      <c r="B3" t="n">
        <v>0.22</v>
      </c>
    </row>
    <row r="4">
      <c r="A4" t="inlineStr">
        <is>
          <t>Merit increase</t>
        </is>
      </c>
      <c r="B4" t="n">
        <v>0.03</v>
      </c>
    </row>
    <row r="5">
      <c r="A5" t="inlineStr">
        <is>
          <t>Merit effective month</t>
        </is>
      </c>
      <c r="B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Monthly fully-loaded cost by employee</t>
        </is>
      </c>
    </row>
    <row r="4">
      <c r="A4" s="1" t="inlineStr">
        <is>
          <t>#</t>
        </is>
      </c>
      <c r="B4" s="1" t="inlineStr">
        <is>
          <t>Emp ID</t>
        </is>
      </c>
      <c r="C4" s="1" t="inlineStr">
        <is>
          <t>Department</t>
        </is>
      </c>
      <c r="D4" s="4" t="n">
        <v>46023</v>
      </c>
      <c r="E4" s="4" t="n">
        <v>46054</v>
      </c>
      <c r="F4" s="4" t="n">
        <v>46082</v>
      </c>
      <c r="G4" s="4" t="n">
        <v>46113</v>
      </c>
      <c r="H4" s="4" t="n">
        <v>46143</v>
      </c>
      <c r="I4" s="4" t="n">
        <v>46174</v>
      </c>
      <c r="J4" s="4" t="n">
        <v>46204</v>
      </c>
      <c r="K4" s="4" t="n">
        <v>46235</v>
      </c>
      <c r="L4" s="4" t="n">
        <v>46266</v>
      </c>
      <c r="M4" s="4" t="n">
        <v>46296</v>
      </c>
      <c r="N4" s="4" t="n">
        <v>46327</v>
      </c>
      <c r="O4" s="4" t="n">
        <v>46357</v>
      </c>
      <c r="P4" s="1" t="inlineStr">
        <is>
          <t>FY26</t>
        </is>
      </c>
    </row>
    <row r="5">
      <c r="A5" t="n">
        <v>1</v>
      </c>
      <c r="B5" t="str">
        <f>INDEX(tblRoster[Emp ID],$A5)</f>
        <v>E102</v>
      </c>
      <c r="C5" t="str">
        <f>INDEX(tblRoster[Department],$A5)</f>
        <v>Support</v>
      </c>
      <c r="D5" s="5">
        <f>IF(AND(INDEX(tblRoster[Start Date],$A5)&lt;=EOMONTH(D$4,0),OR(INDEX(tblRoster[End Date],$A5)="",INDEX(tblRoster[End Date],$A5)&gt;=D$4)),INDEX(tblRoster[Annual Salary],$A5)/12*(1+Assumptions!$B$3)*IF(MONTH(D$4)&gt;=Assumptions!$B$5,1+Assumptions!$B$4,1),0)</f>
        <v>17385</v>
      </c>
      <c r="E5" s="5">
        <f>IF(AND(INDEX(tblRoster[Start Date],$A5)&lt;=EOMONTH(E$4,0),OR(INDEX(tblRoster[End Date],$A5)="",INDEX(tblRoster[End Date],$A5)&gt;=E$4)),INDEX(tblRoster[Annual Salary],$A5)/12*(1+Assumptions!$B$3)*IF(MONTH(E$4)&gt;=Assumptions!$B$5,1+Assumptions!$B$4,1),0)</f>
        <v>17385</v>
      </c>
      <c r="F5" s="5">
        <f>IF(AND(INDEX(tblRoster[Start Date],$A5)&lt;=EOMONTH(F$4,0),OR(INDEX(tblRoster[End Date],$A5)="",INDEX(tblRoster[End Date],$A5)&gt;=F$4)),INDEX(tblRoster[Annual Salary],$A5)/12*(1+Assumptions!$B$3)*IF(MONTH(F$4)&gt;=Assumptions!$B$5,1+Assumptions!$B$4,1),0)</f>
        <v>17385</v>
      </c>
      <c r="G5" s="5">
        <f>IF(AND(INDEX(tblRoster[Start Date],$A5)&lt;=EOMONTH(G$4,0),OR(INDEX(tblRoster[End Date],$A5)="",INDEX(tblRoster[End Date],$A5)&gt;=G$4)),INDEX(tblRoster[Annual Salary],$A5)/12*(1+Assumptions!$B$3)*IF(MONTH(G$4)&gt;=Assumptions!$B$5,1+Assumptions!$B$4,1),0)</f>
        <v>17906.55</v>
      </c>
      <c r="H5" s="5">
        <f>IF(AND(INDEX(tblRoster[Start Date],$A5)&lt;=EOMONTH(H$4,0),OR(INDEX(tblRoster[End Date],$A5)="",INDEX(tblRoster[End Date],$A5)&gt;=H$4)),INDEX(tblRoster[Annual Salary],$A5)/12*(1+Assumptions!$B$3)*IF(MONTH(H$4)&gt;=Assumptions!$B$5,1+Assumptions!$B$4,1),0)</f>
        <v>17906.55</v>
      </c>
      <c r="I5" s="5">
        <f>IF(AND(INDEX(tblRoster[Start Date],$A5)&lt;=EOMONTH(I$4,0),OR(INDEX(tblRoster[End Date],$A5)="",INDEX(tblRoster[End Date],$A5)&gt;=I$4)),INDEX(tblRoster[Annual Salary],$A5)/12*(1+Assumptions!$B$3)*IF(MONTH(I$4)&gt;=Assumptions!$B$5,1+Assumptions!$B$4,1),0)</f>
        <v>17906.55</v>
      </c>
      <c r="J5" s="5">
        <f>IF(AND(INDEX(tblRoster[Start Date],$A5)&lt;=EOMONTH(J$4,0),OR(INDEX(tblRoster[End Date],$A5)="",INDEX(tblRoster[End Date],$A5)&gt;=J$4)),INDEX(tblRoster[Annual Salary],$A5)/12*(1+Assumptions!$B$3)*IF(MONTH(J$4)&gt;=Assumptions!$B$5,1+Assumptions!$B$4,1),0)</f>
        <v>17906.55</v>
      </c>
      <c r="K5" s="5">
        <f>IF(AND(INDEX(tblRoster[Start Date],$A5)&lt;=EOMONTH(K$4,0),OR(INDEX(tblRoster[End Date],$A5)="",INDEX(tblRoster[End Date],$A5)&gt;=K$4)),INDEX(tblRoster[Annual Salary],$A5)/12*(1+Assumptions!$B$3)*IF(MONTH(K$4)&gt;=Assumptions!$B$5,1+Assumptions!$B$4,1),0)</f>
        <v>17906.55</v>
      </c>
      <c r="L5" s="5">
        <f>IF(AND(INDEX(tblRoster[Start Date],$A5)&lt;=EOMONTH(L$4,0),OR(INDEX(tblRoster[End Date],$A5)="",INDEX(tblRoster[End Date],$A5)&gt;=L$4)),INDEX(tblRoster[Annual Salary],$A5)/12*(1+Assumptions!$B$3)*IF(MONTH(L$4)&gt;=Assumptions!$B$5,1+Assumptions!$B$4,1),0)</f>
        <v>17906.55</v>
      </c>
      <c r="M5" s="5">
        <f>IF(AND(INDEX(tblRoster[Start Date],$A5)&lt;=EOMONTH(M$4,0),OR(INDEX(tblRoster[End Date],$A5)="",INDEX(tblRoster[End Date],$A5)&gt;=M$4)),INDEX(tblRoster[Annual Salary],$A5)/12*(1+Assumptions!$B$3)*IF(MONTH(M$4)&gt;=Assumptions!$B$5,1+Assumptions!$B$4,1),0)</f>
        <v>17906.55</v>
      </c>
      <c r="N5" s="5">
        <f>IF(AND(INDEX(tblRoster[Start Date],$A5)&lt;=EOMONTH(N$4,0),OR(INDEX(tblRoster[End Date],$A5)="",INDEX(tblRoster[End Date],$A5)&gt;=N$4)),INDEX(tblRoster[Annual Salary],$A5)/12*(1+Assumptions!$B$3)*IF(MONTH(N$4)&gt;=Assumptions!$B$5,1+Assumptions!$B$4,1),0)</f>
        <v>17906.55</v>
      </c>
      <c r="O5" s="5">
        <f>IF(AND(INDEX(tblRoster[Start Date],$A5)&lt;=EOMONTH(O$4,0),OR(INDEX(tblRoster[End Date],$A5)="",INDEX(tblRoster[End Date],$A5)&gt;=O$4)),INDEX(tblRoster[Annual Salary],$A5)/12*(1+Assumptions!$B$3)*IF(MONTH(O$4)&gt;=Assumptions!$B$5,1+Assumptions!$B$4,1),0)</f>
        <v>17906.55</v>
      </c>
      <c r="P5" s="5">
        <f>SUM(D5:O5)</f>
        <v>213313.94999999995</v>
      </c>
    </row>
    <row r="6">
      <c r="A6" t="n">
        <v>2</v>
      </c>
      <c r="B6" t="str">
        <f>INDEX(tblRoster[Emp ID],$A6)</f>
        <v>E103</v>
      </c>
      <c r="C6" t="str">
        <f>INDEX(tblRoster[Department],$A6)</f>
        <v>Sales</v>
      </c>
      <c r="D6" s="5">
        <f>IF(AND(INDEX(tblRoster[Start Date],$A6)&lt;=EOMONTH(D$4,0),OR(INDEX(tblRoster[End Date],$A6)="",INDEX(tblRoster[End Date],$A6)&gt;=D$4)),INDEX(tblRoster[Annual Salary],$A6)/12*(1+Assumptions!$B$3)*IF(MONTH(D$4)&gt;=Assumptions!$B$5,1+Assumptions!$B$4,1),0)</f>
        <v>21045</v>
      </c>
      <c r="E6" s="5">
        <f>IF(AND(INDEX(tblRoster[Start Date],$A6)&lt;=EOMONTH(E$4,0),OR(INDEX(tblRoster[End Date],$A6)="",INDEX(tblRoster[End Date],$A6)&gt;=E$4)),INDEX(tblRoster[Annual Salary],$A6)/12*(1+Assumptions!$B$3)*IF(MONTH(E$4)&gt;=Assumptions!$B$5,1+Assumptions!$B$4,1),0)</f>
        <v>21045</v>
      </c>
      <c r="F6" s="5">
        <f>IF(AND(INDEX(tblRoster[Start Date],$A6)&lt;=EOMONTH(F$4,0),OR(INDEX(tblRoster[End Date],$A6)="",INDEX(tblRoster[End Date],$A6)&gt;=F$4)),INDEX(tblRoster[Annual Salary],$A6)/12*(1+Assumptions!$B$3)*IF(MONTH(F$4)&gt;=Assumptions!$B$5,1+Assumptions!$B$4,1),0)</f>
        <v>21045</v>
      </c>
      <c r="G6" s="5">
        <f>IF(AND(INDEX(tblRoster[Start Date],$A6)&lt;=EOMONTH(G$4,0),OR(INDEX(tblRoster[End Date],$A6)="",INDEX(tblRoster[End Date],$A6)&gt;=G$4)),INDEX(tblRoster[Annual Salary],$A6)/12*(1+Assumptions!$B$3)*IF(MONTH(G$4)&gt;=Assumptions!$B$5,1+Assumptions!$B$4,1),0)</f>
        <v>21676.350000000002</v>
      </c>
      <c r="H6" s="5">
        <f>IF(AND(INDEX(tblRoster[Start Date],$A6)&lt;=EOMONTH(H$4,0),OR(INDEX(tblRoster[End Date],$A6)="",INDEX(tblRoster[End Date],$A6)&gt;=H$4)),INDEX(tblRoster[Annual Salary],$A6)/12*(1+Assumptions!$B$3)*IF(MONTH(H$4)&gt;=Assumptions!$B$5,1+Assumptions!$B$4,1),0)</f>
        <v>21676.350000000002</v>
      </c>
      <c r="I6" s="5">
        <f>IF(AND(INDEX(tblRoster[Start Date],$A6)&lt;=EOMONTH(I$4,0),OR(INDEX(tblRoster[End Date],$A6)="",INDEX(tblRoster[End Date],$A6)&gt;=I$4)),INDEX(tblRoster[Annual Salary],$A6)/12*(1+Assumptions!$B$3)*IF(MONTH(I$4)&gt;=Assumptions!$B$5,1+Assumptions!$B$4,1),0)</f>
        <v>21676.350000000002</v>
      </c>
      <c r="J6" s="5">
        <f>IF(AND(INDEX(tblRoster[Start Date],$A6)&lt;=EOMONTH(J$4,0),OR(INDEX(tblRoster[End Date],$A6)="",INDEX(tblRoster[End Date],$A6)&gt;=J$4)),INDEX(tblRoster[Annual Salary],$A6)/12*(1+Assumptions!$B$3)*IF(MONTH(J$4)&gt;=Assumptions!$B$5,1+Assumptions!$B$4,1),0)</f>
        <v>21676.350000000002</v>
      </c>
      <c r="K6" s="5">
        <f>IF(AND(INDEX(tblRoster[Start Date],$A6)&lt;=EOMONTH(K$4,0),OR(INDEX(tblRoster[End Date],$A6)="",INDEX(tblRoster[End Date],$A6)&gt;=K$4)),INDEX(tblRoster[Annual Salary],$A6)/12*(1+Assumptions!$B$3)*IF(MONTH(K$4)&gt;=Assumptions!$B$5,1+Assumptions!$B$4,1),0)</f>
        <v>21676.350000000002</v>
      </c>
      <c r="L6" s="5">
        <f>IF(AND(INDEX(tblRoster[Start Date],$A6)&lt;=EOMONTH(L$4,0),OR(INDEX(tblRoster[End Date],$A6)="",INDEX(tblRoster[End Date],$A6)&gt;=L$4)),INDEX(tblRoster[Annual Salary],$A6)/12*(1+Assumptions!$B$3)*IF(MONTH(L$4)&gt;=Assumptions!$B$5,1+Assumptions!$B$4,1),0)</f>
        <v>21676.350000000002</v>
      </c>
      <c r="M6" s="5">
        <f>IF(AND(INDEX(tblRoster[Start Date],$A6)&lt;=EOMONTH(M$4,0),OR(INDEX(tblRoster[End Date],$A6)="",INDEX(tblRoster[End Date],$A6)&gt;=M$4)),INDEX(tblRoster[Annual Salary],$A6)/12*(1+Assumptions!$B$3)*IF(MONTH(M$4)&gt;=Assumptions!$B$5,1+Assumptions!$B$4,1),0)</f>
        <v>21676.350000000002</v>
      </c>
      <c r="N6" s="5">
        <f>IF(AND(INDEX(tblRoster[Start Date],$A6)&lt;=EOMONTH(N$4,0),OR(INDEX(tblRoster[End Date],$A6)="",INDEX(tblRoster[End Date],$A6)&gt;=N$4)),INDEX(tblRoster[Annual Salary],$A6)/12*(1+Assumptions!$B$3)*IF(MONTH(N$4)&gt;=Assumptions!$B$5,1+Assumptions!$B$4,1),0)</f>
        <v>21676.350000000002</v>
      </c>
      <c r="O6" s="5">
        <f>IF(AND(INDEX(tblRoster[Start Date],$A6)&lt;=EOMONTH(O$4,0),OR(INDEX(tblRoster[End Date],$A6)="",INDEX(tblRoster[End Date],$A6)&gt;=O$4)),INDEX(tblRoster[Annual Salary],$A6)/12*(1+Assumptions!$B$3)*IF(MONTH(O$4)&gt;=Assumptions!$B$5,1+Assumptions!$B$4,1),0)</f>
        <v>21676.350000000002</v>
      </c>
      <c r="P6" s="5">
        <f>SUM(D6:O6)</f>
        <v>258222.15000000005</v>
      </c>
    </row>
    <row r="7">
      <c r="A7" t="n">
        <v>3</v>
      </c>
      <c r="B7" t="str">
        <f>INDEX(tblRoster[Emp ID],$A7)</f>
        <v>E104</v>
      </c>
      <c r="C7" t="str">
        <f>INDEX(tblRoster[Department],$A7)</f>
        <v>G&amp;A</v>
      </c>
      <c r="D7" s="5">
        <f>IF(AND(INDEX(tblRoster[Start Date],$A7)&lt;=EOMONTH(D$4,0),OR(INDEX(tblRoster[End Date],$A7)="",INDEX(tblRoster[End Date],$A7)&gt;=D$4)),INDEX(tblRoster[Annual Salary],$A7)/12*(1+Assumptions!$B$3)*IF(MONTH(D$4)&gt;=Assumptions!$B$5,1+Assumptions!$B$4,1),0)</f>
        <v>8540</v>
      </c>
      <c r="E7" s="5">
        <f>IF(AND(INDEX(tblRoster[Start Date],$A7)&lt;=EOMONTH(E$4,0),OR(INDEX(tblRoster[End Date],$A7)="",INDEX(tblRoster[End Date],$A7)&gt;=E$4)),INDEX(tblRoster[Annual Salary],$A7)/12*(1+Assumptions!$B$3)*IF(MONTH(E$4)&gt;=Assumptions!$B$5,1+Assumptions!$B$4,1),0)</f>
        <v>8540</v>
      </c>
      <c r="F7" s="5">
        <f>IF(AND(INDEX(tblRoster[Start Date],$A7)&lt;=EOMONTH(F$4,0),OR(INDEX(tblRoster[End Date],$A7)="",INDEX(tblRoster[End Date],$A7)&gt;=F$4)),INDEX(tblRoster[Annual Salary],$A7)/12*(1+Assumptions!$B$3)*IF(MONTH(F$4)&gt;=Assumptions!$B$5,1+Assumptions!$B$4,1),0)</f>
        <v>8540</v>
      </c>
      <c r="G7" s="5">
        <f>IF(AND(INDEX(tblRoster[Start Date],$A7)&lt;=EOMONTH(G$4,0),OR(INDEX(tblRoster[End Date],$A7)="",INDEX(tblRoster[End Date],$A7)&gt;=G$4)),INDEX(tblRoster[Annual Salary],$A7)/12*(1+Assumptions!$B$3)*IF(MONTH(G$4)&gt;=Assumptions!$B$5,1+Assumptions!$B$4,1),0)</f>
        <v>8796.2</v>
      </c>
      <c r="H7" s="5">
        <f>IF(AND(INDEX(tblRoster[Start Date],$A7)&lt;=EOMONTH(H$4,0),OR(INDEX(tblRoster[End Date],$A7)="",INDEX(tblRoster[End Date],$A7)&gt;=H$4)),INDEX(tblRoster[Annual Salary],$A7)/12*(1+Assumptions!$B$3)*IF(MONTH(H$4)&gt;=Assumptions!$B$5,1+Assumptions!$B$4,1),0)</f>
        <v>8796.2</v>
      </c>
      <c r="I7" s="5">
        <f>IF(AND(INDEX(tblRoster[Start Date],$A7)&lt;=EOMONTH(I$4,0),OR(INDEX(tblRoster[End Date],$A7)="",INDEX(tblRoster[End Date],$A7)&gt;=I$4)),INDEX(tblRoster[Annual Salary],$A7)/12*(1+Assumptions!$B$3)*IF(MONTH(I$4)&gt;=Assumptions!$B$5,1+Assumptions!$B$4,1),0)</f>
        <v>8796.2</v>
      </c>
      <c r="J7" s="5">
        <f>IF(AND(INDEX(tblRoster[Start Date],$A7)&lt;=EOMONTH(J$4,0),OR(INDEX(tblRoster[End Date],$A7)="",INDEX(tblRoster[End Date],$A7)&gt;=J$4)),INDEX(tblRoster[Annual Salary],$A7)/12*(1+Assumptions!$B$3)*IF(MONTH(J$4)&gt;=Assumptions!$B$5,1+Assumptions!$B$4,1),0)</f>
        <v>8796.2</v>
      </c>
      <c r="K7" s="5">
        <f>IF(AND(INDEX(tblRoster[Start Date],$A7)&lt;=EOMONTH(K$4,0),OR(INDEX(tblRoster[End Date],$A7)="",INDEX(tblRoster[End Date],$A7)&gt;=K$4)),INDEX(tblRoster[Annual Salary],$A7)/12*(1+Assumptions!$B$3)*IF(MONTH(K$4)&gt;=Assumptions!$B$5,1+Assumptions!$B$4,1),0)</f>
        <v>8796.2</v>
      </c>
      <c r="L7" s="5">
        <f>IF(AND(INDEX(tblRoster[Start Date],$A7)&lt;=EOMONTH(L$4,0),OR(INDEX(tblRoster[End Date],$A7)="",INDEX(tblRoster[End Date],$A7)&gt;=L$4)),INDEX(tblRoster[Annual Salary],$A7)/12*(1+Assumptions!$B$3)*IF(MONTH(L$4)&gt;=Assumptions!$B$5,1+Assumptions!$B$4,1),0)</f>
        <v>8796.2</v>
      </c>
      <c r="M7" s="5">
        <f>IF(AND(INDEX(tblRoster[Start Date],$A7)&lt;=EOMONTH(M$4,0),OR(INDEX(tblRoster[End Date],$A7)="",INDEX(tblRoster[End Date],$A7)&gt;=M$4)),INDEX(tblRoster[Annual Salary],$A7)/12*(1+Assumptions!$B$3)*IF(MONTH(M$4)&gt;=Assumptions!$B$5,1+Assumptions!$B$4,1),0)</f>
        <v>8796.2</v>
      </c>
      <c r="N7" s="5">
        <f>IF(AND(INDEX(tblRoster[Start Date],$A7)&lt;=EOMONTH(N$4,0),OR(INDEX(tblRoster[End Date],$A7)="",INDEX(tblRoster[End Date],$A7)&gt;=N$4)),INDEX(tblRoster[Annual Salary],$A7)/12*(1+Assumptions!$B$3)*IF(MONTH(N$4)&gt;=Assumptions!$B$5,1+Assumptions!$B$4,1),0)</f>
        <v>8796.2</v>
      </c>
      <c r="O7" s="5">
        <f>IF(AND(INDEX(tblRoster[Start Date],$A7)&lt;=EOMONTH(O$4,0),OR(INDEX(tblRoster[End Date],$A7)="",INDEX(tblRoster[End Date],$A7)&gt;=O$4)),INDEX(tblRoster[Annual Salary],$A7)/12*(1+Assumptions!$B$3)*IF(MONTH(O$4)&gt;=Assumptions!$B$5,1+Assumptions!$B$4,1),0)</f>
        <v>8796.2</v>
      </c>
      <c r="P7" s="5">
        <f>SUM(D7:O7)</f>
        <v>104785.79999999997</v>
      </c>
    </row>
    <row r="8">
      <c r="A8" t="n">
        <v>4</v>
      </c>
      <c r="B8" t="str">
        <f>INDEX(tblRoster[Emp ID],$A8)</f>
        <v>E105</v>
      </c>
      <c r="C8" t="str">
        <f>INDEX(tblRoster[Department],$A8)</f>
        <v>Engineering</v>
      </c>
      <c r="D8" s="5">
        <f>IF(AND(INDEX(tblRoster[Start Date],$A8)&lt;=EOMONTH(D$4,0),OR(INDEX(tblRoster[End Date],$A8)="",INDEX(tblRoster[End Date],$A8)&gt;=D$4)),INDEX(tblRoster[Annual Salary],$A8)/12*(1+Assumptions!$B$3)*IF(MONTH(D$4)&gt;=Assumptions!$B$5,1+Assumptions!$B$4,1),0)</f>
        <v>9353.333333333334</v>
      </c>
      <c r="E8" s="5">
        <f>IF(AND(INDEX(tblRoster[Start Date],$A8)&lt;=EOMONTH(E$4,0),OR(INDEX(tblRoster[End Date],$A8)="",INDEX(tblRoster[End Date],$A8)&gt;=E$4)),INDEX(tblRoster[Annual Salary],$A8)/12*(1+Assumptions!$B$3)*IF(MONTH(E$4)&gt;=Assumptions!$B$5,1+Assumptions!$B$4,1),0)</f>
        <v>9353.333333333334</v>
      </c>
      <c r="F8" s="5">
        <f>IF(AND(INDEX(tblRoster[Start Date],$A8)&lt;=EOMONTH(F$4,0),OR(INDEX(tblRoster[End Date],$A8)="",INDEX(tblRoster[End Date],$A8)&gt;=F$4)),INDEX(tblRoster[Annual Salary],$A8)/12*(1+Assumptions!$B$3)*IF(MONTH(F$4)&gt;=Assumptions!$B$5,1+Assumptions!$B$4,1),0)</f>
        <v>9353.333333333334</v>
      </c>
      <c r="G8" s="5">
        <f>IF(AND(INDEX(tblRoster[Start Date],$A8)&lt;=EOMONTH(G$4,0),OR(INDEX(tblRoster[End Date],$A8)="",INDEX(tblRoster[End Date],$A8)&gt;=G$4)),INDEX(tblRoster[Annual Salary],$A8)/12*(1+Assumptions!$B$3)*IF(MONTH(G$4)&gt;=Assumptions!$B$5,1+Assumptions!$B$4,1),0)</f>
        <v>9633.933333333334</v>
      </c>
      <c r="H8" s="5">
        <f>IF(AND(INDEX(tblRoster[Start Date],$A8)&lt;=EOMONTH(H$4,0),OR(INDEX(tblRoster[End Date],$A8)="",INDEX(tblRoster[End Date],$A8)&gt;=H$4)),INDEX(tblRoster[Annual Salary],$A8)/12*(1+Assumptions!$B$3)*IF(MONTH(H$4)&gt;=Assumptions!$B$5,1+Assumptions!$B$4,1),0)</f>
        <v>9633.933333333334</v>
      </c>
      <c r="I8" s="5">
        <f>IF(AND(INDEX(tblRoster[Start Date],$A8)&lt;=EOMONTH(I$4,0),OR(INDEX(tblRoster[End Date],$A8)="",INDEX(tblRoster[End Date],$A8)&gt;=I$4)),INDEX(tblRoster[Annual Salary],$A8)/12*(1+Assumptions!$B$3)*IF(MONTH(I$4)&gt;=Assumptions!$B$5,1+Assumptions!$B$4,1),0)</f>
        <v>9633.933333333334</v>
      </c>
      <c r="J8" s="5">
        <f>IF(AND(INDEX(tblRoster[Start Date],$A8)&lt;=EOMONTH(J$4,0),OR(INDEX(tblRoster[End Date],$A8)="",INDEX(tblRoster[End Date],$A8)&gt;=J$4)),INDEX(tblRoster[Annual Salary],$A8)/12*(1+Assumptions!$B$3)*IF(MONTH(J$4)&gt;=Assumptions!$B$5,1+Assumptions!$B$4,1),0)</f>
        <v>9633.933333333334</v>
      </c>
      <c r="K8" s="5">
        <f>IF(AND(INDEX(tblRoster[Start Date],$A8)&lt;=EOMONTH(K$4,0),OR(INDEX(tblRoster[End Date],$A8)="",INDEX(tblRoster[End Date],$A8)&gt;=K$4)),INDEX(tblRoster[Annual Salary],$A8)/12*(1+Assumptions!$B$3)*IF(MONTH(K$4)&gt;=Assumptions!$B$5,1+Assumptions!$B$4,1),0)</f>
        <v>9633.933333333334</v>
      </c>
      <c r="L8" s="5">
        <f>IF(AND(INDEX(tblRoster[Start Date],$A8)&lt;=EOMONTH(L$4,0),OR(INDEX(tblRoster[End Date],$A8)="",INDEX(tblRoster[End Date],$A8)&gt;=L$4)),INDEX(tblRoster[Annual Salary],$A8)/12*(1+Assumptions!$B$3)*IF(MONTH(L$4)&gt;=Assumptions!$B$5,1+Assumptions!$B$4,1),0)</f>
        <v>9633.933333333334</v>
      </c>
      <c r="M8" s="5">
        <f>IF(AND(INDEX(tblRoster[Start Date],$A8)&lt;=EOMONTH(M$4,0),OR(INDEX(tblRoster[End Date],$A8)="",INDEX(tblRoster[End Date],$A8)&gt;=M$4)),INDEX(tblRoster[Annual Salary],$A8)/12*(1+Assumptions!$B$3)*IF(MONTH(M$4)&gt;=Assumptions!$B$5,1+Assumptions!$B$4,1),0)</f>
        <v>9633.933333333334</v>
      </c>
      <c r="N8" s="5">
        <f>IF(AND(INDEX(tblRoster[Start Date],$A8)&lt;=EOMONTH(N$4,0),OR(INDEX(tblRoster[End Date],$A8)="",INDEX(tblRoster[End Date],$A8)&gt;=N$4)),INDEX(tblRoster[Annual Salary],$A8)/12*(1+Assumptions!$B$3)*IF(MONTH(N$4)&gt;=Assumptions!$B$5,1+Assumptions!$B$4,1),0)</f>
        <v>9633.933333333334</v>
      </c>
      <c r="O8" s="5">
        <f>IF(AND(INDEX(tblRoster[Start Date],$A8)&lt;=EOMONTH(O$4,0),OR(INDEX(tblRoster[End Date],$A8)="",INDEX(tblRoster[End Date],$A8)&gt;=O$4)),INDEX(tblRoster[Annual Salary],$A8)/12*(1+Assumptions!$B$3)*IF(MONTH(O$4)&gt;=Assumptions!$B$5,1+Assumptions!$B$4,1),0)</f>
        <v>9633.933333333334</v>
      </c>
      <c r="P8" s="5">
        <f>SUM(D8:O8)</f>
        <v>114765.40000000001</v>
      </c>
    </row>
    <row r="9">
      <c r="A9" t="n">
        <v>5</v>
      </c>
      <c r="B9" t="str">
        <f>INDEX(tblRoster[Emp ID],$A9)</f>
        <v>E106</v>
      </c>
      <c r="C9" t="str">
        <f>INDEX(tblRoster[Department],$A9)</f>
        <v>Marketing</v>
      </c>
      <c r="D9" s="5">
        <f>IF(AND(INDEX(tblRoster[Start Date],$A9)&lt;=EOMONTH(D$4,0),OR(INDEX(tblRoster[End Date],$A9)="",INDEX(tblRoster[End Date],$A9)&gt;=D$4)),INDEX(tblRoster[Annual Salary],$A9)/12*(1+Assumptions!$B$3)*IF(MONTH(D$4)&gt;=Assumptions!$B$5,1+Assumptions!$B$4,1),0)</f>
        <v>13318.333333333332</v>
      </c>
      <c r="E9" s="5">
        <f>IF(AND(INDEX(tblRoster[Start Date],$A9)&lt;=EOMONTH(E$4,0),OR(INDEX(tblRoster[End Date],$A9)="",INDEX(tblRoster[End Date],$A9)&gt;=E$4)),INDEX(tblRoster[Annual Salary],$A9)/12*(1+Assumptions!$B$3)*IF(MONTH(E$4)&gt;=Assumptions!$B$5,1+Assumptions!$B$4,1),0)</f>
        <v>13318.333333333332</v>
      </c>
      <c r="F9" s="5">
        <f>IF(AND(INDEX(tblRoster[Start Date],$A9)&lt;=EOMONTH(F$4,0),OR(INDEX(tblRoster[End Date],$A9)="",INDEX(tblRoster[End Date],$A9)&gt;=F$4)),INDEX(tblRoster[Annual Salary],$A9)/12*(1+Assumptions!$B$3)*IF(MONTH(F$4)&gt;=Assumptions!$B$5,1+Assumptions!$B$4,1),0)</f>
        <v>13318.333333333332</v>
      </c>
      <c r="G9" s="5">
        <f>IF(AND(INDEX(tblRoster[Start Date],$A9)&lt;=EOMONTH(G$4,0),OR(INDEX(tblRoster[End Date],$A9)="",INDEX(tblRoster[End Date],$A9)&gt;=G$4)),INDEX(tblRoster[Annual Salary],$A9)/12*(1+Assumptions!$B$3)*IF(MONTH(G$4)&gt;=Assumptions!$B$5,1+Assumptions!$B$4,1),0)</f>
        <v>13717.883333333333</v>
      </c>
      <c r="H9" s="5">
        <f>IF(AND(INDEX(tblRoster[Start Date],$A9)&lt;=EOMONTH(H$4,0),OR(INDEX(tblRoster[End Date],$A9)="",INDEX(tblRoster[End Date],$A9)&gt;=H$4)),INDEX(tblRoster[Annual Salary],$A9)/12*(1+Assumptions!$B$3)*IF(MONTH(H$4)&gt;=Assumptions!$B$5,1+Assumptions!$B$4,1),0)</f>
        <v>13717.883333333333</v>
      </c>
      <c r="I9" s="5">
        <f>IF(AND(INDEX(tblRoster[Start Date],$A9)&lt;=EOMONTH(I$4,0),OR(INDEX(tblRoster[End Date],$A9)="",INDEX(tblRoster[End Date],$A9)&gt;=I$4)),INDEX(tblRoster[Annual Salary],$A9)/12*(1+Assumptions!$B$3)*IF(MONTH(I$4)&gt;=Assumptions!$B$5,1+Assumptions!$B$4,1),0)</f>
        <v>13717.883333333333</v>
      </c>
      <c r="J9" s="5">
        <f>IF(AND(INDEX(tblRoster[Start Date],$A9)&lt;=EOMONTH(J$4,0),OR(INDEX(tblRoster[End Date],$A9)="",INDEX(tblRoster[End Date],$A9)&gt;=J$4)),INDEX(tblRoster[Annual Salary],$A9)/12*(1+Assumptions!$B$3)*IF(MONTH(J$4)&gt;=Assumptions!$B$5,1+Assumptions!$B$4,1),0)</f>
        <v>13717.883333333333</v>
      </c>
      <c r="K9" s="5">
        <f>IF(AND(INDEX(tblRoster[Start Date],$A9)&lt;=EOMONTH(K$4,0),OR(INDEX(tblRoster[End Date],$A9)="",INDEX(tblRoster[End Date],$A9)&gt;=K$4)),INDEX(tblRoster[Annual Salary],$A9)/12*(1+Assumptions!$B$3)*IF(MONTH(K$4)&gt;=Assumptions!$B$5,1+Assumptions!$B$4,1),0)</f>
        <v>13717.883333333333</v>
      </c>
      <c r="L9" s="5">
        <f>IF(AND(INDEX(tblRoster[Start Date],$A9)&lt;=EOMONTH(L$4,0),OR(INDEX(tblRoster[End Date],$A9)="",INDEX(tblRoster[End Date],$A9)&gt;=L$4)),INDEX(tblRoster[Annual Salary],$A9)/12*(1+Assumptions!$B$3)*IF(MONTH(L$4)&gt;=Assumptions!$B$5,1+Assumptions!$B$4,1),0)</f>
        <v>13717.883333333333</v>
      </c>
      <c r="M9" s="5">
        <f>IF(AND(INDEX(tblRoster[Start Date],$A9)&lt;=EOMONTH(M$4,0),OR(INDEX(tblRoster[End Date],$A9)="",INDEX(tblRoster[End Date],$A9)&gt;=M$4)),INDEX(tblRoster[Annual Salary],$A9)/12*(1+Assumptions!$B$3)*IF(MONTH(M$4)&gt;=Assumptions!$B$5,1+Assumptions!$B$4,1),0)</f>
        <v>13717.883333333333</v>
      </c>
      <c r="N9" s="5">
        <f>IF(AND(INDEX(tblRoster[Start Date],$A9)&lt;=EOMONTH(N$4,0),OR(INDEX(tblRoster[End Date],$A9)="",INDEX(tblRoster[End Date],$A9)&gt;=N$4)),INDEX(tblRoster[Annual Salary],$A9)/12*(1+Assumptions!$B$3)*IF(MONTH(N$4)&gt;=Assumptions!$B$5,1+Assumptions!$B$4,1),0)</f>
        <v>13717.883333333333</v>
      </c>
      <c r="O9" s="5">
        <f>IF(AND(INDEX(tblRoster[Start Date],$A9)&lt;=EOMONTH(O$4,0),OR(INDEX(tblRoster[End Date],$A9)="",INDEX(tblRoster[End Date],$A9)&gt;=O$4)),INDEX(tblRoster[Annual Salary],$A9)/12*(1+Assumptions!$B$3)*IF(MONTH(O$4)&gt;=Assumptions!$B$5,1+Assumptions!$B$4,1),0)</f>
        <v>13717.883333333333</v>
      </c>
      <c r="P9" s="5">
        <f>SUM(D9:O9)</f>
        <v>163415.94999999998</v>
      </c>
    </row>
    <row r="10">
      <c r="A10" t="n">
        <v>6</v>
      </c>
      <c r="B10" t="str">
        <f>INDEX(tblRoster[Emp ID],$A10)</f>
        <v>E107</v>
      </c>
      <c r="C10" t="str">
        <f>INDEX(tblRoster[Department],$A10)</f>
        <v>Support</v>
      </c>
      <c r="D10" s="5">
        <f>IF(AND(INDEX(tblRoster[Start Date],$A10)&lt;=EOMONTH(D$4,0),OR(INDEX(tblRoster[End Date],$A10)="",INDEX(tblRoster[End Date],$A10)&gt;=D$4)),INDEX(tblRoster[Annual Salary],$A10)/12*(1+Assumptions!$B$3)*IF(MONTH(D$4)&gt;=Assumptions!$B$5,1+Assumptions!$B$4,1),0)</f>
        <v>8641.666666666666</v>
      </c>
      <c r="E10" s="5">
        <f>IF(AND(INDEX(tblRoster[Start Date],$A10)&lt;=EOMONTH(E$4,0),OR(INDEX(tblRoster[End Date],$A10)="",INDEX(tblRoster[End Date],$A10)&gt;=E$4)),INDEX(tblRoster[Annual Salary],$A10)/12*(1+Assumptions!$B$3)*IF(MONTH(E$4)&gt;=Assumptions!$B$5,1+Assumptions!$B$4,1),0)</f>
        <v>8641.666666666666</v>
      </c>
      <c r="F10" s="5">
        <f>IF(AND(INDEX(tblRoster[Start Date],$A10)&lt;=EOMONTH(F$4,0),OR(INDEX(tblRoster[End Date],$A10)="",INDEX(tblRoster[End Date],$A10)&gt;=F$4)),INDEX(tblRoster[Annual Salary],$A10)/12*(1+Assumptions!$B$3)*IF(MONTH(F$4)&gt;=Assumptions!$B$5,1+Assumptions!$B$4,1),0)</f>
        <v>8641.666666666666</v>
      </c>
      <c r="G10" s="5">
        <f>IF(AND(INDEX(tblRoster[Start Date],$A10)&lt;=EOMONTH(G$4,0),OR(INDEX(tblRoster[End Date],$A10)="",INDEX(tblRoster[End Date],$A10)&gt;=G$4)),INDEX(tblRoster[Annual Salary],$A10)/12*(1+Assumptions!$B$3)*IF(MONTH(G$4)&gt;=Assumptions!$B$5,1+Assumptions!$B$4,1),0)</f>
        <v>8900.916666666666</v>
      </c>
      <c r="H10" s="5">
        <f>IF(AND(INDEX(tblRoster[Start Date],$A10)&lt;=EOMONTH(H$4,0),OR(INDEX(tblRoster[End Date],$A10)="",INDEX(tblRoster[End Date],$A10)&gt;=H$4)),INDEX(tblRoster[Annual Salary],$A10)/12*(1+Assumptions!$B$3)*IF(MONTH(H$4)&gt;=Assumptions!$B$5,1+Assumptions!$B$4,1),0)</f>
        <v>8900.916666666666</v>
      </c>
      <c r="I10" s="5">
        <f>IF(AND(INDEX(tblRoster[Start Date],$A10)&lt;=EOMONTH(I$4,0),OR(INDEX(tblRoster[End Date],$A10)="",INDEX(tblRoster[End Date],$A10)&gt;=I$4)),INDEX(tblRoster[Annual Salary],$A10)/12*(1+Assumptions!$B$3)*IF(MONTH(I$4)&gt;=Assumptions!$B$5,1+Assumptions!$B$4,1),0)</f>
        <v>8900.916666666666</v>
      </c>
      <c r="J10" s="5">
        <f>IF(AND(INDEX(tblRoster[Start Date],$A10)&lt;=EOMONTH(J$4,0),OR(INDEX(tblRoster[End Date],$A10)="",INDEX(tblRoster[End Date],$A10)&gt;=J$4)),INDEX(tblRoster[Annual Salary],$A10)/12*(1+Assumptions!$B$3)*IF(MONTH(J$4)&gt;=Assumptions!$B$5,1+Assumptions!$B$4,1),0)</f>
        <v>8900.916666666666</v>
      </c>
      <c r="K10" s="5">
        <f>IF(AND(INDEX(tblRoster[Start Date],$A10)&lt;=EOMONTH(K$4,0),OR(INDEX(tblRoster[End Date],$A10)="",INDEX(tblRoster[End Date],$A10)&gt;=K$4)),INDEX(tblRoster[Annual Salary],$A10)/12*(1+Assumptions!$B$3)*IF(MONTH(K$4)&gt;=Assumptions!$B$5,1+Assumptions!$B$4,1),0)</f>
        <v>8900.916666666666</v>
      </c>
      <c r="L10" s="5">
        <f>IF(AND(INDEX(tblRoster[Start Date],$A10)&lt;=EOMONTH(L$4,0),OR(INDEX(tblRoster[End Date],$A10)="",INDEX(tblRoster[End Date],$A10)&gt;=L$4)),INDEX(tblRoster[Annual Salary],$A10)/12*(1+Assumptions!$B$3)*IF(MONTH(L$4)&gt;=Assumptions!$B$5,1+Assumptions!$B$4,1),0)</f>
        <v>8900.916666666666</v>
      </c>
      <c r="M10" s="5">
        <f>IF(AND(INDEX(tblRoster[Start Date],$A10)&lt;=EOMONTH(M$4,0),OR(INDEX(tblRoster[End Date],$A10)="",INDEX(tblRoster[End Date],$A10)&gt;=M$4)),INDEX(tblRoster[Annual Salary],$A10)/12*(1+Assumptions!$B$3)*IF(MONTH(M$4)&gt;=Assumptions!$B$5,1+Assumptions!$B$4,1),0)</f>
        <v>8900.916666666666</v>
      </c>
      <c r="N10" s="5">
        <f>IF(AND(INDEX(tblRoster[Start Date],$A10)&lt;=EOMONTH(N$4,0),OR(INDEX(tblRoster[End Date],$A10)="",INDEX(tblRoster[End Date],$A10)&gt;=N$4)),INDEX(tblRoster[Annual Salary],$A10)/12*(1+Assumptions!$B$3)*IF(MONTH(N$4)&gt;=Assumptions!$B$5,1+Assumptions!$B$4,1),0)</f>
        <v>8900.916666666666</v>
      </c>
      <c r="O10" s="5">
        <f>IF(AND(INDEX(tblRoster[Start Date],$A10)&lt;=EOMONTH(O$4,0),OR(INDEX(tblRoster[End Date],$A10)="",INDEX(tblRoster[End Date],$A10)&gt;=O$4)),INDEX(tblRoster[Annual Salary],$A10)/12*(1+Assumptions!$B$3)*IF(MONTH(O$4)&gt;=Assumptions!$B$5,1+Assumptions!$B$4,1),0)</f>
        <v>8900.916666666666</v>
      </c>
      <c r="P10" s="5">
        <f>SUM(D10:O10)</f>
        <v>106033.25000000001</v>
      </c>
    </row>
    <row r="11">
      <c r="A11" t="n">
        <v>7</v>
      </c>
      <c r="B11" t="str">
        <f>INDEX(tblRoster[Emp ID],$A11)</f>
        <v>E108</v>
      </c>
      <c r="C11" t="str">
        <f>INDEX(tblRoster[Department],$A11)</f>
        <v>Sales</v>
      </c>
      <c r="D11" s="5">
        <f>IF(AND(INDEX(tblRoster[Start Date],$A11)&lt;=EOMONTH(D$4,0),OR(INDEX(tblRoster[End Date],$A11)="",INDEX(tblRoster[End Date],$A11)&gt;=D$4)),INDEX(tblRoster[Annual Salary],$A11)/12*(1+Assumptions!$B$3)*IF(MONTH(D$4)&gt;=Assumptions!$B$5,1+Assumptions!$B$4,1),0)</f>
        <v>8641.666666666666</v>
      </c>
      <c r="E11" s="5">
        <f>IF(AND(INDEX(tblRoster[Start Date],$A11)&lt;=EOMONTH(E$4,0),OR(INDEX(tblRoster[End Date],$A11)="",INDEX(tblRoster[End Date],$A11)&gt;=E$4)),INDEX(tblRoster[Annual Salary],$A11)/12*(1+Assumptions!$B$3)*IF(MONTH(E$4)&gt;=Assumptions!$B$5,1+Assumptions!$B$4,1),0)</f>
        <v>8641.666666666666</v>
      </c>
      <c r="F11" s="5">
        <f>IF(AND(INDEX(tblRoster[Start Date],$A11)&lt;=EOMONTH(F$4,0),OR(INDEX(tblRoster[End Date],$A11)="",INDEX(tblRoster[End Date],$A11)&gt;=F$4)),INDEX(tblRoster[Annual Salary],$A11)/12*(1+Assumptions!$B$3)*IF(MONTH(F$4)&gt;=Assumptions!$B$5,1+Assumptions!$B$4,1),0)</f>
        <v>8641.666666666666</v>
      </c>
      <c r="G11" s="5">
        <f>IF(AND(INDEX(tblRoster[Start Date],$A11)&lt;=EOMONTH(G$4,0),OR(INDEX(tblRoster[End Date],$A11)="",INDEX(tblRoster[End Date],$A11)&gt;=G$4)),INDEX(tblRoster[Annual Salary],$A11)/12*(1+Assumptions!$B$3)*IF(MONTH(G$4)&gt;=Assumptions!$B$5,1+Assumptions!$B$4,1),0)</f>
        <v>8900.916666666666</v>
      </c>
      <c r="H11" s="5">
        <f>IF(AND(INDEX(tblRoster[Start Date],$A11)&lt;=EOMONTH(H$4,0),OR(INDEX(tblRoster[End Date],$A11)="",INDEX(tblRoster[End Date],$A11)&gt;=H$4)),INDEX(tblRoster[Annual Salary],$A11)/12*(1+Assumptions!$B$3)*IF(MONTH(H$4)&gt;=Assumptions!$B$5,1+Assumptions!$B$4,1),0)</f>
        <v>8900.916666666666</v>
      </c>
      <c r="I11" s="5">
        <f>IF(AND(INDEX(tblRoster[Start Date],$A11)&lt;=EOMONTH(I$4,0),OR(INDEX(tblRoster[End Date],$A11)="",INDEX(tblRoster[End Date],$A11)&gt;=I$4)),INDEX(tblRoster[Annual Salary],$A11)/12*(1+Assumptions!$B$3)*IF(MONTH(I$4)&gt;=Assumptions!$B$5,1+Assumptions!$B$4,1),0)</f>
        <v>8900.916666666666</v>
      </c>
      <c r="J11" s="5">
        <f>IF(AND(INDEX(tblRoster[Start Date],$A11)&lt;=EOMONTH(J$4,0),OR(INDEX(tblRoster[End Date],$A11)="",INDEX(tblRoster[End Date],$A11)&gt;=J$4)),INDEX(tblRoster[Annual Salary],$A11)/12*(1+Assumptions!$B$3)*IF(MONTH(J$4)&gt;=Assumptions!$B$5,1+Assumptions!$B$4,1),0)</f>
        <v>8900.916666666666</v>
      </c>
      <c r="K11" s="5">
        <f>IF(AND(INDEX(tblRoster[Start Date],$A11)&lt;=EOMONTH(K$4,0),OR(INDEX(tblRoster[End Date],$A11)="",INDEX(tblRoster[End Date],$A11)&gt;=K$4)),INDEX(tblRoster[Annual Salary],$A11)/12*(1+Assumptions!$B$3)*IF(MONTH(K$4)&gt;=Assumptions!$B$5,1+Assumptions!$B$4,1),0)</f>
        <v>8900.916666666666</v>
      </c>
      <c r="L11" s="5">
        <f>IF(AND(INDEX(tblRoster[Start Date],$A11)&lt;=EOMONTH(L$4,0),OR(INDEX(tblRoster[End Date],$A11)="",INDEX(tblRoster[End Date],$A11)&gt;=L$4)),INDEX(tblRoster[Annual Salary],$A11)/12*(1+Assumptions!$B$3)*IF(MONTH(L$4)&gt;=Assumptions!$B$5,1+Assumptions!$B$4,1),0)</f>
        <v>8900.916666666666</v>
      </c>
      <c r="M11" s="5">
        <f>IF(AND(INDEX(tblRoster[Start Date],$A11)&lt;=EOMONTH(M$4,0),OR(INDEX(tblRoster[End Date],$A11)="",INDEX(tblRoster[End Date],$A11)&gt;=M$4)),INDEX(tblRoster[Annual Salary],$A11)/12*(1+Assumptions!$B$3)*IF(MONTH(M$4)&gt;=Assumptions!$B$5,1+Assumptions!$B$4,1),0)</f>
        <v>8900.916666666666</v>
      </c>
      <c r="N11" s="5">
        <f>IF(AND(INDEX(tblRoster[Start Date],$A11)&lt;=EOMONTH(N$4,0),OR(INDEX(tblRoster[End Date],$A11)="",INDEX(tblRoster[End Date],$A11)&gt;=N$4)),INDEX(tblRoster[Annual Salary],$A11)/12*(1+Assumptions!$B$3)*IF(MONTH(N$4)&gt;=Assumptions!$B$5,1+Assumptions!$B$4,1),0)</f>
        <v>8900.916666666666</v>
      </c>
      <c r="O11" s="5">
        <f>IF(AND(INDEX(tblRoster[Start Date],$A11)&lt;=EOMONTH(O$4,0),OR(INDEX(tblRoster[End Date],$A11)="",INDEX(tblRoster[End Date],$A11)&gt;=O$4)),INDEX(tblRoster[Annual Salary],$A11)/12*(1+Assumptions!$B$3)*IF(MONTH(O$4)&gt;=Assumptions!$B$5,1+Assumptions!$B$4,1),0)</f>
        <v>8900.916666666666</v>
      </c>
      <c r="P11" s="5">
        <f>SUM(D11:O11)</f>
        <v>106033.25000000001</v>
      </c>
    </row>
    <row r="12">
      <c r="A12" t="n">
        <v>8</v>
      </c>
      <c r="B12" t="str">
        <f>INDEX(tblRoster[Emp ID],$A12)</f>
        <v>E109</v>
      </c>
      <c r="C12" t="str">
        <f>INDEX(tblRoster[Department],$A12)</f>
        <v>G&amp;A</v>
      </c>
      <c r="D12" s="5">
        <f>IF(AND(INDEX(tblRoster[Start Date],$A12)&lt;=EOMONTH(D$4,0),OR(INDEX(tblRoster[End Date],$A12)="",INDEX(tblRoster[End Date],$A12)&gt;=D$4)),INDEX(tblRoster[Annual Salary],$A12)/12*(1+Assumptions!$B$3)*IF(MONTH(D$4)&gt;=Assumptions!$B$5,1+Assumptions!$B$4,1),0)</f>
        <v>8336.666666666666</v>
      </c>
      <c r="E12" s="5">
        <f>IF(AND(INDEX(tblRoster[Start Date],$A12)&lt;=EOMONTH(E$4,0),OR(INDEX(tblRoster[End Date],$A12)="",INDEX(tblRoster[End Date],$A12)&gt;=E$4)),INDEX(tblRoster[Annual Salary],$A12)/12*(1+Assumptions!$B$3)*IF(MONTH(E$4)&gt;=Assumptions!$B$5,1+Assumptions!$B$4,1),0)</f>
        <v>8336.666666666666</v>
      </c>
      <c r="F12" s="5">
        <f>IF(AND(INDEX(tblRoster[Start Date],$A12)&lt;=EOMONTH(F$4,0),OR(INDEX(tblRoster[End Date],$A12)="",INDEX(tblRoster[End Date],$A12)&gt;=F$4)),INDEX(tblRoster[Annual Salary],$A12)/12*(1+Assumptions!$B$3)*IF(MONTH(F$4)&gt;=Assumptions!$B$5,1+Assumptions!$B$4,1),0)</f>
        <v>8336.666666666666</v>
      </c>
      <c r="G12" s="5">
        <f>IF(AND(INDEX(tblRoster[Start Date],$A12)&lt;=EOMONTH(G$4,0),OR(INDEX(tblRoster[End Date],$A12)="",INDEX(tblRoster[End Date],$A12)&gt;=G$4)),INDEX(tblRoster[Annual Salary],$A12)/12*(1+Assumptions!$B$3)*IF(MONTH(G$4)&gt;=Assumptions!$B$5,1+Assumptions!$B$4,1),0)</f>
        <v>8586.766666666666</v>
      </c>
      <c r="H12" s="5">
        <f>IF(AND(INDEX(tblRoster[Start Date],$A12)&lt;=EOMONTH(H$4,0),OR(INDEX(tblRoster[End Date],$A12)="",INDEX(tblRoster[End Date],$A12)&gt;=H$4)),INDEX(tblRoster[Annual Salary],$A12)/12*(1+Assumptions!$B$3)*IF(MONTH(H$4)&gt;=Assumptions!$B$5,1+Assumptions!$B$4,1),0)</f>
        <v>8586.766666666666</v>
      </c>
      <c r="I12" s="5">
        <f>IF(AND(INDEX(tblRoster[Start Date],$A12)&lt;=EOMONTH(I$4,0),OR(INDEX(tblRoster[End Date],$A12)="",INDEX(tblRoster[End Date],$A12)&gt;=I$4)),INDEX(tblRoster[Annual Salary],$A12)/12*(1+Assumptions!$B$3)*IF(MONTH(I$4)&gt;=Assumptions!$B$5,1+Assumptions!$B$4,1),0)</f>
        <v>8586.766666666666</v>
      </c>
      <c r="J12" s="5">
        <f>IF(AND(INDEX(tblRoster[Start Date],$A12)&lt;=EOMONTH(J$4,0),OR(INDEX(tblRoster[End Date],$A12)="",INDEX(tblRoster[End Date],$A12)&gt;=J$4)),INDEX(tblRoster[Annual Salary],$A12)/12*(1+Assumptions!$B$3)*IF(MONTH(J$4)&gt;=Assumptions!$B$5,1+Assumptions!$B$4,1),0)</f>
        <v>8586.766666666666</v>
      </c>
      <c r="K12" s="5">
        <f>IF(AND(INDEX(tblRoster[Start Date],$A12)&lt;=EOMONTH(K$4,0),OR(INDEX(tblRoster[End Date],$A12)="",INDEX(tblRoster[End Date],$A12)&gt;=K$4)),INDEX(tblRoster[Annual Salary],$A12)/12*(1+Assumptions!$B$3)*IF(MONTH(K$4)&gt;=Assumptions!$B$5,1+Assumptions!$B$4,1),0)</f>
        <v>8586.766666666666</v>
      </c>
      <c r="L12" s="5">
        <f>IF(AND(INDEX(tblRoster[Start Date],$A12)&lt;=EOMONTH(L$4,0),OR(INDEX(tblRoster[End Date],$A12)="",INDEX(tblRoster[End Date],$A12)&gt;=L$4)),INDEX(tblRoster[Annual Salary],$A12)/12*(1+Assumptions!$B$3)*IF(MONTH(L$4)&gt;=Assumptions!$B$5,1+Assumptions!$B$4,1),0)</f>
        <v>8586.766666666666</v>
      </c>
      <c r="M12" s="5">
        <f>IF(AND(INDEX(tblRoster[Start Date],$A12)&lt;=EOMONTH(M$4,0),OR(INDEX(tblRoster[End Date],$A12)="",INDEX(tblRoster[End Date],$A12)&gt;=M$4)),INDEX(tblRoster[Annual Salary],$A12)/12*(1+Assumptions!$B$3)*IF(MONTH(M$4)&gt;=Assumptions!$B$5,1+Assumptions!$B$4,1),0)</f>
        <v>8586.766666666666</v>
      </c>
      <c r="N12" s="5">
        <f>IF(AND(INDEX(tblRoster[Start Date],$A12)&lt;=EOMONTH(N$4,0),OR(INDEX(tblRoster[End Date],$A12)="",INDEX(tblRoster[End Date],$A12)&gt;=N$4)),INDEX(tblRoster[Annual Salary],$A12)/12*(1+Assumptions!$B$3)*IF(MONTH(N$4)&gt;=Assumptions!$B$5,1+Assumptions!$B$4,1),0)</f>
        <v>8586.766666666666</v>
      </c>
      <c r="O12" s="5">
        <f>IF(AND(INDEX(tblRoster[Start Date],$A12)&lt;=EOMONTH(O$4,0),OR(INDEX(tblRoster[End Date],$A12)="",INDEX(tblRoster[End Date],$A12)&gt;=O$4)),INDEX(tblRoster[Annual Salary],$A12)/12*(1+Assumptions!$B$3)*IF(MONTH(O$4)&gt;=Assumptions!$B$5,1+Assumptions!$B$4,1),0)</f>
        <v>8586.766666666666</v>
      </c>
      <c r="P12" s="5">
        <f>SUM(D12:O12)</f>
        <v>102290.89999999997</v>
      </c>
    </row>
    <row r="13">
      <c r="A13" t="n">
        <v>9</v>
      </c>
      <c r="B13" t="str">
        <f>INDEX(tblRoster[Emp ID],$A13)</f>
        <v>E110</v>
      </c>
      <c r="C13" t="str">
        <f>INDEX(tblRoster[Department],$A13)</f>
        <v>Engineering</v>
      </c>
      <c r="D13" s="5">
        <f>IF(AND(INDEX(tblRoster[Start Date],$A13)&lt;=EOMONTH(D$4,0),OR(INDEX(tblRoster[End Date],$A13)="",INDEX(tblRoster[End Date],$A13)&gt;=D$4)),INDEX(tblRoster[Annual Salary],$A13)/12*(1+Assumptions!$B$3)*IF(MONTH(D$4)&gt;=Assumptions!$B$5,1+Assumptions!$B$4,1),0)</f>
        <v>10573.333333333332</v>
      </c>
      <c r="E13" s="5">
        <f>IF(AND(INDEX(tblRoster[Start Date],$A13)&lt;=EOMONTH(E$4,0),OR(INDEX(tblRoster[End Date],$A13)="",INDEX(tblRoster[End Date],$A13)&gt;=E$4)),INDEX(tblRoster[Annual Salary],$A13)/12*(1+Assumptions!$B$3)*IF(MONTH(E$4)&gt;=Assumptions!$B$5,1+Assumptions!$B$4,1),0)</f>
        <v>10573.333333333332</v>
      </c>
      <c r="F13" s="5">
        <f>IF(AND(INDEX(tblRoster[Start Date],$A13)&lt;=EOMONTH(F$4,0),OR(INDEX(tblRoster[End Date],$A13)="",INDEX(tblRoster[End Date],$A13)&gt;=F$4)),INDEX(tblRoster[Annual Salary],$A13)/12*(1+Assumptions!$B$3)*IF(MONTH(F$4)&gt;=Assumptions!$B$5,1+Assumptions!$B$4,1),0)</f>
        <v>10573.333333333332</v>
      </c>
      <c r="G13" s="5">
        <f>IF(AND(INDEX(tblRoster[Start Date],$A13)&lt;=EOMONTH(G$4,0),OR(INDEX(tblRoster[End Date],$A13)="",INDEX(tblRoster[End Date],$A13)&gt;=G$4)),INDEX(tblRoster[Annual Salary],$A13)/12*(1+Assumptions!$B$3)*IF(MONTH(G$4)&gt;=Assumptions!$B$5,1+Assumptions!$B$4,1),0)</f>
        <v>10890.533333333333</v>
      </c>
      <c r="H13" s="5">
        <f>IF(AND(INDEX(tblRoster[Start Date],$A13)&lt;=EOMONTH(H$4,0),OR(INDEX(tblRoster[End Date],$A13)="",INDEX(tblRoster[End Date],$A13)&gt;=H$4)),INDEX(tblRoster[Annual Salary],$A13)/12*(1+Assumptions!$B$3)*IF(MONTH(H$4)&gt;=Assumptions!$B$5,1+Assumptions!$B$4,1),0)</f>
        <v>10890.533333333333</v>
      </c>
      <c r="I13" s="5">
        <f>IF(AND(INDEX(tblRoster[Start Date],$A13)&lt;=EOMONTH(I$4,0),OR(INDEX(tblRoster[End Date],$A13)="",INDEX(tblRoster[End Date],$A13)&gt;=I$4)),INDEX(tblRoster[Annual Salary],$A13)/12*(1+Assumptions!$B$3)*IF(MONTH(I$4)&gt;=Assumptions!$B$5,1+Assumptions!$B$4,1),0)</f>
        <v>10890.533333333333</v>
      </c>
      <c r="J13" s="5">
        <f>IF(AND(INDEX(tblRoster[Start Date],$A13)&lt;=EOMONTH(J$4,0),OR(INDEX(tblRoster[End Date],$A13)="",INDEX(tblRoster[End Date],$A13)&gt;=J$4)),INDEX(tblRoster[Annual Salary],$A13)/12*(1+Assumptions!$B$3)*IF(MONTH(J$4)&gt;=Assumptions!$B$5,1+Assumptions!$B$4,1),0)</f>
        <v>10890.533333333333</v>
      </c>
      <c r="K13" s="5">
        <f>IF(AND(INDEX(tblRoster[Start Date],$A13)&lt;=EOMONTH(K$4,0),OR(INDEX(tblRoster[End Date],$A13)="",INDEX(tblRoster[End Date],$A13)&gt;=K$4)),INDEX(tblRoster[Annual Salary],$A13)/12*(1+Assumptions!$B$3)*IF(MONTH(K$4)&gt;=Assumptions!$B$5,1+Assumptions!$B$4,1),0)</f>
        <v>10890.533333333333</v>
      </c>
      <c r="L13" s="5">
        <f>IF(AND(INDEX(tblRoster[Start Date],$A13)&lt;=EOMONTH(L$4,0),OR(INDEX(tblRoster[End Date],$A13)="",INDEX(tblRoster[End Date],$A13)&gt;=L$4)),INDEX(tblRoster[Annual Salary],$A13)/12*(1+Assumptions!$B$3)*IF(MONTH(L$4)&gt;=Assumptions!$B$5,1+Assumptions!$B$4,1),0)</f>
        <v>10890.533333333333</v>
      </c>
      <c r="M13" s="5">
        <f>IF(AND(INDEX(tblRoster[Start Date],$A13)&lt;=EOMONTH(M$4,0),OR(INDEX(tblRoster[End Date],$A13)="",INDEX(tblRoster[End Date],$A13)&gt;=M$4)),INDEX(tblRoster[Annual Salary],$A13)/12*(1+Assumptions!$B$3)*IF(MONTH(M$4)&gt;=Assumptions!$B$5,1+Assumptions!$B$4,1),0)</f>
        <v>10890.533333333333</v>
      </c>
      <c r="N13" s="5">
        <f>IF(AND(INDEX(tblRoster[Start Date],$A13)&lt;=EOMONTH(N$4,0),OR(INDEX(tblRoster[End Date],$A13)="",INDEX(tblRoster[End Date],$A13)&gt;=N$4)),INDEX(tblRoster[Annual Salary],$A13)/12*(1+Assumptions!$B$3)*IF(MONTH(N$4)&gt;=Assumptions!$B$5,1+Assumptions!$B$4,1),0)</f>
        <v>10890.533333333333</v>
      </c>
      <c r="O13" s="5">
        <f>IF(AND(INDEX(tblRoster[Start Date],$A13)&lt;=EOMONTH(O$4,0),OR(INDEX(tblRoster[End Date],$A13)="",INDEX(tblRoster[End Date],$A13)&gt;=O$4)),INDEX(tblRoster[Annual Salary],$A13)/12*(1+Assumptions!$B$3)*IF(MONTH(O$4)&gt;=Assumptions!$B$5,1+Assumptions!$B$4,1),0)</f>
        <v>10890.533333333333</v>
      </c>
      <c r="P13" s="5">
        <f>SUM(D13:O13)</f>
        <v>129734.79999999996</v>
      </c>
    </row>
    <row r="14">
      <c r="A14" t="n">
        <v>10</v>
      </c>
      <c r="B14" t="str">
        <f>INDEX(tblRoster[Emp ID],$A14)</f>
        <v>E111</v>
      </c>
      <c r="C14" t="str">
        <f>INDEX(tblRoster[Department],$A14)</f>
        <v>Marketing</v>
      </c>
      <c r="D14" s="5">
        <f>IF(AND(INDEX(tblRoster[Start Date],$A14)&lt;=EOMONTH(D$4,0),OR(INDEX(tblRoster[End Date],$A14)="",INDEX(tblRoster[End Date],$A14)&gt;=D$4)),INDEX(tblRoster[Annual Salary],$A14)/12*(1+Assumptions!$B$3)*IF(MONTH(D$4)&gt;=Assumptions!$B$5,1+Assumptions!$B$4,1),0)</f>
        <v>10166.666666666668</v>
      </c>
      <c r="E14" s="5">
        <f>IF(AND(INDEX(tblRoster[Start Date],$A14)&lt;=EOMONTH(E$4,0),OR(INDEX(tblRoster[End Date],$A14)="",INDEX(tblRoster[End Date],$A14)&gt;=E$4)),INDEX(tblRoster[Annual Salary],$A14)/12*(1+Assumptions!$B$3)*IF(MONTH(E$4)&gt;=Assumptions!$B$5,1+Assumptions!$B$4,1),0)</f>
        <v>10166.666666666668</v>
      </c>
      <c r="F14" s="5">
        <f>IF(AND(INDEX(tblRoster[Start Date],$A14)&lt;=EOMONTH(F$4,0),OR(INDEX(tblRoster[End Date],$A14)="",INDEX(tblRoster[End Date],$A14)&gt;=F$4)),INDEX(tblRoster[Annual Salary],$A14)/12*(1+Assumptions!$B$3)*IF(MONTH(F$4)&gt;=Assumptions!$B$5,1+Assumptions!$B$4,1),0)</f>
        <v>10166.666666666668</v>
      </c>
      <c r="G14" s="5">
        <f>IF(AND(INDEX(tblRoster[Start Date],$A14)&lt;=EOMONTH(G$4,0),OR(INDEX(tblRoster[End Date],$A14)="",INDEX(tblRoster[End Date],$A14)&gt;=G$4)),INDEX(tblRoster[Annual Salary],$A14)/12*(1+Assumptions!$B$3)*IF(MONTH(G$4)&gt;=Assumptions!$B$5,1+Assumptions!$B$4,1),0)</f>
        <v>10471.666666666668</v>
      </c>
      <c r="H14" s="5">
        <f>IF(AND(INDEX(tblRoster[Start Date],$A14)&lt;=EOMONTH(H$4,0),OR(INDEX(tblRoster[End Date],$A14)="",INDEX(tblRoster[End Date],$A14)&gt;=H$4)),INDEX(tblRoster[Annual Salary],$A14)/12*(1+Assumptions!$B$3)*IF(MONTH(H$4)&gt;=Assumptions!$B$5,1+Assumptions!$B$4,1),0)</f>
        <v>10471.666666666668</v>
      </c>
      <c r="I14" s="5">
        <f>IF(AND(INDEX(tblRoster[Start Date],$A14)&lt;=EOMONTH(I$4,0),OR(INDEX(tblRoster[End Date],$A14)="",INDEX(tblRoster[End Date],$A14)&gt;=I$4)),INDEX(tblRoster[Annual Salary],$A14)/12*(1+Assumptions!$B$3)*IF(MONTH(I$4)&gt;=Assumptions!$B$5,1+Assumptions!$B$4,1),0)</f>
        <v>10471.666666666668</v>
      </c>
      <c r="J14" s="5">
        <f>IF(AND(INDEX(tblRoster[Start Date],$A14)&lt;=EOMONTH(J$4,0),OR(INDEX(tblRoster[End Date],$A14)="",INDEX(tblRoster[End Date],$A14)&gt;=J$4)),INDEX(tblRoster[Annual Salary],$A14)/12*(1+Assumptions!$B$3)*IF(MONTH(J$4)&gt;=Assumptions!$B$5,1+Assumptions!$B$4,1),0)</f>
        <v>10471.666666666668</v>
      </c>
      <c r="K14" s="5">
        <f>IF(AND(INDEX(tblRoster[Start Date],$A14)&lt;=EOMONTH(K$4,0),OR(INDEX(tblRoster[End Date],$A14)="",INDEX(tblRoster[End Date],$A14)&gt;=K$4)),INDEX(tblRoster[Annual Salary],$A14)/12*(1+Assumptions!$B$3)*IF(MONTH(K$4)&gt;=Assumptions!$B$5,1+Assumptions!$B$4,1),0)</f>
        <v>10471.666666666668</v>
      </c>
      <c r="L14" s="5">
        <f>IF(AND(INDEX(tblRoster[Start Date],$A14)&lt;=EOMONTH(L$4,0),OR(INDEX(tblRoster[End Date],$A14)="",INDEX(tblRoster[End Date],$A14)&gt;=L$4)),INDEX(tblRoster[Annual Salary],$A14)/12*(1+Assumptions!$B$3)*IF(MONTH(L$4)&gt;=Assumptions!$B$5,1+Assumptions!$B$4,1),0)</f>
        <v>10471.666666666668</v>
      </c>
      <c r="M14" s="5">
        <f>IF(AND(INDEX(tblRoster[Start Date],$A14)&lt;=EOMONTH(M$4,0),OR(INDEX(tblRoster[End Date],$A14)="",INDEX(tblRoster[End Date],$A14)&gt;=M$4)),INDEX(tblRoster[Annual Salary],$A14)/12*(1+Assumptions!$B$3)*IF(MONTH(M$4)&gt;=Assumptions!$B$5,1+Assumptions!$B$4,1),0)</f>
        <v>0</v>
      </c>
      <c r="N14" s="5">
        <f>IF(AND(INDEX(tblRoster[Start Date],$A14)&lt;=EOMONTH(N$4,0),OR(INDEX(tblRoster[End Date],$A14)="",INDEX(tblRoster[End Date],$A14)&gt;=N$4)),INDEX(tblRoster[Annual Salary],$A14)/12*(1+Assumptions!$B$3)*IF(MONTH(N$4)&gt;=Assumptions!$B$5,1+Assumptions!$B$4,1),0)</f>
        <v>0</v>
      </c>
      <c r="O14" s="5">
        <f>IF(AND(INDEX(tblRoster[Start Date],$A14)&lt;=EOMONTH(O$4,0),OR(INDEX(tblRoster[End Date],$A14)="",INDEX(tblRoster[End Date],$A14)&gt;=O$4)),INDEX(tblRoster[Annual Salary],$A14)/12*(1+Assumptions!$B$3)*IF(MONTH(O$4)&gt;=Assumptions!$B$5,1+Assumptions!$B$4,1),0)</f>
        <v>0</v>
      </c>
      <c r="P14" s="5">
        <f>SUM(D14:O14)</f>
        <v>93330.00000000003</v>
      </c>
    </row>
    <row r="15">
      <c r="A15" t="n">
        <v>11</v>
      </c>
      <c r="B15" t="str">
        <f>INDEX(tblRoster[Emp ID],$A15)</f>
        <v>E112</v>
      </c>
      <c r="C15" t="str">
        <f>INDEX(tblRoster[Department],$A15)</f>
        <v>Support</v>
      </c>
      <c r="D15" s="5">
        <f>IF(AND(INDEX(tblRoster[Start Date],$A15)&lt;=EOMONTH(D$4,0),OR(INDEX(tblRoster[End Date],$A15)="",INDEX(tblRoster[End Date],$A15)&gt;=D$4)),INDEX(tblRoster[Annual Salary],$A15)/12*(1+Assumptions!$B$3)*IF(MONTH(D$4)&gt;=Assumptions!$B$5,1+Assumptions!$B$4,1),0)</f>
        <v>11793.333333333332</v>
      </c>
      <c r="E15" s="5">
        <f>IF(AND(INDEX(tblRoster[Start Date],$A15)&lt;=EOMONTH(E$4,0),OR(INDEX(tblRoster[End Date],$A15)="",INDEX(tblRoster[End Date],$A15)&gt;=E$4)),INDEX(tblRoster[Annual Salary],$A15)/12*(1+Assumptions!$B$3)*IF(MONTH(E$4)&gt;=Assumptions!$B$5,1+Assumptions!$B$4,1),0)</f>
        <v>11793.333333333332</v>
      </c>
      <c r="F15" s="5">
        <f>IF(AND(INDEX(tblRoster[Start Date],$A15)&lt;=EOMONTH(F$4,0),OR(INDEX(tblRoster[End Date],$A15)="",INDEX(tblRoster[End Date],$A15)&gt;=F$4)),INDEX(tblRoster[Annual Salary],$A15)/12*(1+Assumptions!$B$3)*IF(MONTH(F$4)&gt;=Assumptions!$B$5,1+Assumptions!$B$4,1),0)</f>
        <v>11793.333333333332</v>
      </c>
      <c r="G15" s="5">
        <f>IF(AND(INDEX(tblRoster[Start Date],$A15)&lt;=EOMONTH(G$4,0),OR(INDEX(tblRoster[End Date],$A15)="",INDEX(tblRoster[End Date],$A15)&gt;=G$4)),INDEX(tblRoster[Annual Salary],$A15)/12*(1+Assumptions!$B$3)*IF(MONTH(G$4)&gt;=Assumptions!$B$5,1+Assumptions!$B$4,1),0)</f>
        <v>12147.133333333333</v>
      </c>
      <c r="H15" s="5">
        <f>IF(AND(INDEX(tblRoster[Start Date],$A15)&lt;=EOMONTH(H$4,0),OR(INDEX(tblRoster[End Date],$A15)="",INDEX(tblRoster[End Date],$A15)&gt;=H$4)),INDEX(tblRoster[Annual Salary],$A15)/12*(1+Assumptions!$B$3)*IF(MONTH(H$4)&gt;=Assumptions!$B$5,1+Assumptions!$B$4,1),0)</f>
        <v>12147.133333333333</v>
      </c>
      <c r="I15" s="5">
        <f>IF(AND(INDEX(tblRoster[Start Date],$A15)&lt;=EOMONTH(I$4,0),OR(INDEX(tblRoster[End Date],$A15)="",INDEX(tblRoster[End Date],$A15)&gt;=I$4)),INDEX(tblRoster[Annual Salary],$A15)/12*(1+Assumptions!$B$3)*IF(MONTH(I$4)&gt;=Assumptions!$B$5,1+Assumptions!$B$4,1),0)</f>
        <v>12147.133333333333</v>
      </c>
      <c r="J15" s="5">
        <f>IF(AND(INDEX(tblRoster[Start Date],$A15)&lt;=EOMONTH(J$4,0),OR(INDEX(tblRoster[End Date],$A15)="",INDEX(tblRoster[End Date],$A15)&gt;=J$4)),INDEX(tblRoster[Annual Salary],$A15)/12*(1+Assumptions!$B$3)*IF(MONTH(J$4)&gt;=Assumptions!$B$5,1+Assumptions!$B$4,1),0)</f>
        <v>12147.133333333333</v>
      </c>
      <c r="K15" s="5">
        <f>IF(AND(INDEX(tblRoster[Start Date],$A15)&lt;=EOMONTH(K$4,0),OR(INDEX(tblRoster[End Date],$A15)="",INDEX(tblRoster[End Date],$A15)&gt;=K$4)),INDEX(tblRoster[Annual Salary],$A15)/12*(1+Assumptions!$B$3)*IF(MONTH(K$4)&gt;=Assumptions!$B$5,1+Assumptions!$B$4,1),0)</f>
        <v>12147.133333333333</v>
      </c>
      <c r="L15" s="5">
        <f>IF(AND(INDEX(tblRoster[Start Date],$A15)&lt;=EOMONTH(L$4,0),OR(INDEX(tblRoster[End Date],$A15)="",INDEX(tblRoster[End Date],$A15)&gt;=L$4)),INDEX(tblRoster[Annual Salary],$A15)/12*(1+Assumptions!$B$3)*IF(MONTH(L$4)&gt;=Assumptions!$B$5,1+Assumptions!$B$4,1),0)</f>
        <v>12147.133333333333</v>
      </c>
      <c r="M15" s="5">
        <f>IF(AND(INDEX(tblRoster[Start Date],$A15)&lt;=EOMONTH(M$4,0),OR(INDEX(tblRoster[End Date],$A15)="",INDEX(tblRoster[End Date],$A15)&gt;=M$4)),INDEX(tblRoster[Annual Salary],$A15)/12*(1+Assumptions!$B$3)*IF(MONTH(M$4)&gt;=Assumptions!$B$5,1+Assumptions!$B$4,1),0)</f>
        <v>12147.133333333333</v>
      </c>
      <c r="N15" s="5">
        <f>IF(AND(INDEX(tblRoster[Start Date],$A15)&lt;=EOMONTH(N$4,0),OR(INDEX(tblRoster[End Date],$A15)="",INDEX(tblRoster[End Date],$A15)&gt;=N$4)),INDEX(tblRoster[Annual Salary],$A15)/12*(1+Assumptions!$B$3)*IF(MONTH(N$4)&gt;=Assumptions!$B$5,1+Assumptions!$B$4,1),0)</f>
        <v>12147.133333333333</v>
      </c>
      <c r="O15" s="5">
        <f>IF(AND(INDEX(tblRoster[Start Date],$A15)&lt;=EOMONTH(O$4,0),OR(INDEX(tblRoster[End Date],$A15)="",INDEX(tblRoster[End Date],$A15)&gt;=O$4)),INDEX(tblRoster[Annual Salary],$A15)/12*(1+Assumptions!$B$3)*IF(MONTH(O$4)&gt;=Assumptions!$B$5,1+Assumptions!$B$4,1),0)</f>
        <v>12147.133333333333</v>
      </c>
      <c r="P15" s="5">
        <f>SUM(D15:O15)</f>
        <v>144704.19999999998</v>
      </c>
    </row>
    <row r="16">
      <c r="A16" t="n">
        <v>12</v>
      </c>
      <c r="B16" t="str">
        <f>INDEX(tblRoster[Emp ID],$A16)</f>
        <v>E113</v>
      </c>
      <c r="C16" t="str">
        <f>INDEX(tblRoster[Department],$A16)</f>
        <v>Sales</v>
      </c>
      <c r="D16" s="5">
        <f>IF(AND(INDEX(tblRoster[Start Date],$A16)&lt;=EOMONTH(D$4,0),OR(INDEX(tblRoster[End Date],$A16)="",INDEX(tblRoster[End Date],$A16)&gt;=D$4)),INDEX(tblRoster[Annual Salary],$A16)/12*(1+Assumptions!$B$3)*IF(MONTH(D$4)&gt;=Assumptions!$B$5,1+Assumptions!$B$4,1),0)</f>
        <v>11996.666666666668</v>
      </c>
      <c r="E16" s="5">
        <f>IF(AND(INDEX(tblRoster[Start Date],$A16)&lt;=EOMONTH(E$4,0),OR(INDEX(tblRoster[End Date],$A16)="",INDEX(tblRoster[End Date],$A16)&gt;=E$4)),INDEX(tblRoster[Annual Salary],$A16)/12*(1+Assumptions!$B$3)*IF(MONTH(E$4)&gt;=Assumptions!$B$5,1+Assumptions!$B$4,1),0)</f>
        <v>11996.666666666668</v>
      </c>
      <c r="F16" s="5">
        <f>IF(AND(INDEX(tblRoster[Start Date],$A16)&lt;=EOMONTH(F$4,0),OR(INDEX(tblRoster[End Date],$A16)="",INDEX(tblRoster[End Date],$A16)&gt;=F$4)),INDEX(tblRoster[Annual Salary],$A16)/12*(1+Assumptions!$B$3)*IF(MONTH(F$4)&gt;=Assumptions!$B$5,1+Assumptions!$B$4,1),0)</f>
        <v>11996.666666666668</v>
      </c>
      <c r="G16" s="5">
        <f>IF(AND(INDEX(tblRoster[Start Date],$A16)&lt;=EOMONTH(G$4,0),OR(INDEX(tblRoster[End Date],$A16)="",INDEX(tblRoster[End Date],$A16)&gt;=G$4)),INDEX(tblRoster[Annual Salary],$A16)/12*(1+Assumptions!$B$3)*IF(MONTH(G$4)&gt;=Assumptions!$B$5,1+Assumptions!$B$4,1),0)</f>
        <v>12356.566666666668</v>
      </c>
      <c r="H16" s="5">
        <f>IF(AND(INDEX(tblRoster[Start Date],$A16)&lt;=EOMONTH(H$4,0),OR(INDEX(tblRoster[End Date],$A16)="",INDEX(tblRoster[End Date],$A16)&gt;=H$4)),INDEX(tblRoster[Annual Salary],$A16)/12*(1+Assumptions!$B$3)*IF(MONTH(H$4)&gt;=Assumptions!$B$5,1+Assumptions!$B$4,1),0)</f>
        <v>12356.566666666668</v>
      </c>
      <c r="I16" s="5">
        <f>IF(AND(INDEX(tblRoster[Start Date],$A16)&lt;=EOMONTH(I$4,0),OR(INDEX(tblRoster[End Date],$A16)="",INDEX(tblRoster[End Date],$A16)&gt;=I$4)),INDEX(tblRoster[Annual Salary],$A16)/12*(1+Assumptions!$B$3)*IF(MONTH(I$4)&gt;=Assumptions!$B$5,1+Assumptions!$B$4,1),0)</f>
        <v>12356.566666666668</v>
      </c>
      <c r="J16" s="5">
        <f>IF(AND(INDEX(tblRoster[Start Date],$A16)&lt;=EOMONTH(J$4,0),OR(INDEX(tblRoster[End Date],$A16)="",INDEX(tblRoster[End Date],$A16)&gt;=J$4)),INDEX(tblRoster[Annual Salary],$A16)/12*(1+Assumptions!$B$3)*IF(MONTH(J$4)&gt;=Assumptions!$B$5,1+Assumptions!$B$4,1),0)</f>
        <v>12356.566666666668</v>
      </c>
      <c r="K16" s="5">
        <f>IF(AND(INDEX(tblRoster[Start Date],$A16)&lt;=EOMONTH(K$4,0),OR(INDEX(tblRoster[End Date],$A16)="",INDEX(tblRoster[End Date],$A16)&gt;=K$4)),INDEX(tblRoster[Annual Salary],$A16)/12*(1+Assumptions!$B$3)*IF(MONTH(K$4)&gt;=Assumptions!$B$5,1+Assumptions!$B$4,1),0)</f>
        <v>12356.566666666668</v>
      </c>
      <c r="L16" s="5">
        <f>IF(AND(INDEX(tblRoster[Start Date],$A16)&lt;=EOMONTH(L$4,0),OR(INDEX(tblRoster[End Date],$A16)="",INDEX(tblRoster[End Date],$A16)&gt;=L$4)),INDEX(tblRoster[Annual Salary],$A16)/12*(1+Assumptions!$B$3)*IF(MONTH(L$4)&gt;=Assumptions!$B$5,1+Assumptions!$B$4,1),0)</f>
        <v>12356.566666666668</v>
      </c>
      <c r="M16" s="5">
        <f>IF(AND(INDEX(tblRoster[Start Date],$A16)&lt;=EOMONTH(M$4,0),OR(INDEX(tblRoster[End Date],$A16)="",INDEX(tblRoster[End Date],$A16)&gt;=M$4)),INDEX(tblRoster[Annual Salary],$A16)/12*(1+Assumptions!$B$3)*IF(MONTH(M$4)&gt;=Assumptions!$B$5,1+Assumptions!$B$4,1),0)</f>
        <v>12356.566666666668</v>
      </c>
      <c r="N16" s="5">
        <f>IF(AND(INDEX(tblRoster[Start Date],$A16)&lt;=EOMONTH(N$4,0),OR(INDEX(tblRoster[End Date],$A16)="",INDEX(tblRoster[End Date],$A16)&gt;=N$4)),INDEX(tblRoster[Annual Salary],$A16)/12*(1+Assumptions!$B$3)*IF(MONTH(N$4)&gt;=Assumptions!$B$5,1+Assumptions!$B$4,1),0)</f>
        <v>12356.566666666668</v>
      </c>
      <c r="O16" s="5">
        <f>IF(AND(INDEX(tblRoster[Start Date],$A16)&lt;=EOMONTH(O$4,0),OR(INDEX(tblRoster[End Date],$A16)="",INDEX(tblRoster[End Date],$A16)&gt;=O$4)),INDEX(tblRoster[Annual Salary],$A16)/12*(1+Assumptions!$B$3)*IF(MONTH(O$4)&gt;=Assumptions!$B$5,1+Assumptions!$B$4,1),0)</f>
        <v>12356.566666666668</v>
      </c>
      <c r="P16" s="5">
        <f>SUM(D16:O16)</f>
        <v>147199.1</v>
      </c>
    </row>
    <row r="17">
      <c r="A17" t="n">
        <v>13</v>
      </c>
      <c r="B17" t="str">
        <f>INDEX(tblRoster[Emp ID],$A17)</f>
        <v>E114</v>
      </c>
      <c r="C17" t="str">
        <f>INDEX(tblRoster[Department],$A17)</f>
        <v>G&amp;A</v>
      </c>
      <c r="D17" s="5">
        <f>IF(AND(INDEX(tblRoster[Start Date],$A17)&lt;=EOMONTH(D$4,0),OR(INDEX(tblRoster[End Date],$A17)="",INDEX(tblRoster[End Date],$A17)&gt;=D$4)),INDEX(tblRoster[Annual Salary],$A17)/12*(1+Assumptions!$B$3)*IF(MONTH(D$4)&gt;=Assumptions!$B$5,1+Assumptions!$B$4,1),0)</f>
        <v>8743.333333333334</v>
      </c>
      <c r="E17" s="5">
        <f>IF(AND(INDEX(tblRoster[Start Date],$A17)&lt;=EOMONTH(E$4,0),OR(INDEX(tblRoster[End Date],$A17)="",INDEX(tblRoster[End Date],$A17)&gt;=E$4)),INDEX(tblRoster[Annual Salary],$A17)/12*(1+Assumptions!$B$3)*IF(MONTH(E$4)&gt;=Assumptions!$B$5,1+Assumptions!$B$4,1),0)</f>
        <v>8743.333333333334</v>
      </c>
      <c r="F17" s="5">
        <f>IF(AND(INDEX(tblRoster[Start Date],$A17)&lt;=EOMONTH(F$4,0),OR(INDEX(tblRoster[End Date],$A17)="",INDEX(tblRoster[End Date],$A17)&gt;=F$4)),INDEX(tblRoster[Annual Salary],$A17)/12*(1+Assumptions!$B$3)*IF(MONTH(F$4)&gt;=Assumptions!$B$5,1+Assumptions!$B$4,1),0)</f>
        <v>8743.333333333334</v>
      </c>
      <c r="G17" s="5">
        <f>IF(AND(INDEX(tblRoster[Start Date],$A17)&lt;=EOMONTH(G$4,0),OR(INDEX(tblRoster[End Date],$A17)="",INDEX(tblRoster[End Date],$A17)&gt;=G$4)),INDEX(tblRoster[Annual Salary],$A17)/12*(1+Assumptions!$B$3)*IF(MONTH(G$4)&gt;=Assumptions!$B$5,1+Assumptions!$B$4,1),0)</f>
        <v>9005.633333333335</v>
      </c>
      <c r="H17" s="5">
        <f>IF(AND(INDEX(tblRoster[Start Date],$A17)&lt;=EOMONTH(H$4,0),OR(INDEX(tblRoster[End Date],$A17)="",INDEX(tblRoster[End Date],$A17)&gt;=H$4)),INDEX(tblRoster[Annual Salary],$A17)/12*(1+Assumptions!$B$3)*IF(MONTH(H$4)&gt;=Assumptions!$B$5,1+Assumptions!$B$4,1),0)</f>
        <v>9005.633333333335</v>
      </c>
      <c r="I17" s="5">
        <f>IF(AND(INDEX(tblRoster[Start Date],$A17)&lt;=EOMONTH(I$4,0),OR(INDEX(tblRoster[End Date],$A17)="",INDEX(tblRoster[End Date],$A17)&gt;=I$4)),INDEX(tblRoster[Annual Salary],$A17)/12*(1+Assumptions!$B$3)*IF(MONTH(I$4)&gt;=Assumptions!$B$5,1+Assumptions!$B$4,1),0)</f>
        <v>9005.633333333335</v>
      </c>
      <c r="J17" s="5">
        <f>IF(AND(INDEX(tblRoster[Start Date],$A17)&lt;=EOMONTH(J$4,0),OR(INDEX(tblRoster[End Date],$A17)="",INDEX(tblRoster[End Date],$A17)&gt;=J$4)),INDEX(tblRoster[Annual Salary],$A17)/12*(1+Assumptions!$B$3)*IF(MONTH(J$4)&gt;=Assumptions!$B$5,1+Assumptions!$B$4,1),0)</f>
        <v>9005.633333333335</v>
      </c>
      <c r="K17" s="5">
        <f>IF(AND(INDEX(tblRoster[Start Date],$A17)&lt;=EOMONTH(K$4,0),OR(INDEX(tblRoster[End Date],$A17)="",INDEX(tblRoster[End Date],$A17)&gt;=K$4)),INDEX(tblRoster[Annual Salary],$A17)/12*(1+Assumptions!$B$3)*IF(MONTH(K$4)&gt;=Assumptions!$B$5,1+Assumptions!$B$4,1),0)</f>
        <v>9005.633333333335</v>
      </c>
      <c r="L17" s="5">
        <f>IF(AND(INDEX(tblRoster[Start Date],$A17)&lt;=EOMONTH(L$4,0),OR(INDEX(tblRoster[End Date],$A17)="",INDEX(tblRoster[End Date],$A17)&gt;=L$4)),INDEX(tblRoster[Annual Salary],$A17)/12*(1+Assumptions!$B$3)*IF(MONTH(L$4)&gt;=Assumptions!$B$5,1+Assumptions!$B$4,1),0)</f>
        <v>9005.633333333335</v>
      </c>
      <c r="M17" s="5">
        <f>IF(AND(INDEX(tblRoster[Start Date],$A17)&lt;=EOMONTH(M$4,0),OR(INDEX(tblRoster[End Date],$A17)="",INDEX(tblRoster[End Date],$A17)&gt;=M$4)),INDEX(tblRoster[Annual Salary],$A17)/12*(1+Assumptions!$B$3)*IF(MONTH(M$4)&gt;=Assumptions!$B$5,1+Assumptions!$B$4,1),0)</f>
        <v>9005.633333333335</v>
      </c>
      <c r="N17" s="5">
        <f>IF(AND(INDEX(tblRoster[Start Date],$A17)&lt;=EOMONTH(N$4,0),OR(INDEX(tblRoster[End Date],$A17)="",INDEX(tblRoster[End Date],$A17)&gt;=N$4)),INDEX(tblRoster[Annual Salary],$A17)/12*(1+Assumptions!$B$3)*IF(MONTH(N$4)&gt;=Assumptions!$B$5,1+Assumptions!$B$4,1),0)</f>
        <v>9005.633333333335</v>
      </c>
      <c r="O17" s="5">
        <f>IF(AND(INDEX(tblRoster[Start Date],$A17)&lt;=EOMONTH(O$4,0),OR(INDEX(tblRoster[End Date],$A17)="",INDEX(tblRoster[End Date],$A17)&gt;=O$4)),INDEX(tblRoster[Annual Salary],$A17)/12*(1+Assumptions!$B$3)*IF(MONTH(O$4)&gt;=Assumptions!$B$5,1+Assumptions!$B$4,1),0)</f>
        <v>9005.633333333335</v>
      </c>
      <c r="P17" s="5">
        <f>SUM(D17:O17)</f>
        <v>107280.69999999998</v>
      </c>
    </row>
    <row r="18">
      <c r="A18" t="n">
        <v>14</v>
      </c>
      <c r="B18" t="str">
        <f>INDEX(tblRoster[Emp ID],$A18)</f>
        <v>E115</v>
      </c>
      <c r="C18" t="str">
        <f>INDEX(tblRoster[Department],$A18)</f>
        <v>Engineering</v>
      </c>
      <c r="D18" s="5">
        <f>IF(AND(INDEX(tblRoster[Start Date],$A18)&lt;=EOMONTH(D$4,0),OR(INDEX(tblRoster[End Date],$A18)="",INDEX(tblRoster[End Date],$A18)&gt;=D$4)),INDEX(tblRoster[Annual Salary],$A18)/12*(1+Assumptions!$B$3)*IF(MONTH(D$4)&gt;=Assumptions!$B$5,1+Assumptions!$B$4,1),0)</f>
        <v>12403.333333333332</v>
      </c>
      <c r="E18" s="5">
        <f>IF(AND(INDEX(tblRoster[Start Date],$A18)&lt;=EOMONTH(E$4,0),OR(INDEX(tblRoster[End Date],$A18)="",INDEX(tblRoster[End Date],$A18)&gt;=E$4)),INDEX(tblRoster[Annual Salary],$A18)/12*(1+Assumptions!$B$3)*IF(MONTH(E$4)&gt;=Assumptions!$B$5,1+Assumptions!$B$4,1),0)</f>
        <v>12403.333333333332</v>
      </c>
      <c r="F18" s="5">
        <f>IF(AND(INDEX(tblRoster[Start Date],$A18)&lt;=EOMONTH(F$4,0),OR(INDEX(tblRoster[End Date],$A18)="",INDEX(tblRoster[End Date],$A18)&gt;=F$4)),INDEX(tblRoster[Annual Salary],$A18)/12*(1+Assumptions!$B$3)*IF(MONTH(F$4)&gt;=Assumptions!$B$5,1+Assumptions!$B$4,1),0)</f>
        <v>12403.333333333332</v>
      </c>
      <c r="G18" s="5">
        <f>IF(AND(INDEX(tblRoster[Start Date],$A18)&lt;=EOMONTH(G$4,0),OR(INDEX(tblRoster[End Date],$A18)="",INDEX(tblRoster[End Date],$A18)&gt;=G$4)),INDEX(tblRoster[Annual Salary],$A18)/12*(1+Assumptions!$B$3)*IF(MONTH(G$4)&gt;=Assumptions!$B$5,1+Assumptions!$B$4,1),0)</f>
        <v>12775.433333333332</v>
      </c>
      <c r="H18" s="5">
        <f>IF(AND(INDEX(tblRoster[Start Date],$A18)&lt;=EOMONTH(H$4,0),OR(INDEX(tblRoster[End Date],$A18)="",INDEX(tblRoster[End Date],$A18)&gt;=H$4)),INDEX(tblRoster[Annual Salary],$A18)/12*(1+Assumptions!$B$3)*IF(MONTH(H$4)&gt;=Assumptions!$B$5,1+Assumptions!$B$4,1),0)</f>
        <v>12775.433333333332</v>
      </c>
      <c r="I18" s="5">
        <f>IF(AND(INDEX(tblRoster[Start Date],$A18)&lt;=EOMONTH(I$4,0),OR(INDEX(tblRoster[End Date],$A18)="",INDEX(tblRoster[End Date],$A18)&gt;=I$4)),INDEX(tblRoster[Annual Salary],$A18)/12*(1+Assumptions!$B$3)*IF(MONTH(I$4)&gt;=Assumptions!$B$5,1+Assumptions!$B$4,1),0)</f>
        <v>12775.433333333332</v>
      </c>
      <c r="J18" s="5">
        <f>IF(AND(INDEX(tblRoster[Start Date],$A18)&lt;=EOMONTH(J$4,0),OR(INDEX(tblRoster[End Date],$A18)="",INDEX(tblRoster[End Date],$A18)&gt;=J$4)),INDEX(tblRoster[Annual Salary],$A18)/12*(1+Assumptions!$B$3)*IF(MONTH(J$4)&gt;=Assumptions!$B$5,1+Assumptions!$B$4,1),0)</f>
        <v>12775.433333333332</v>
      </c>
      <c r="K18" s="5">
        <f>IF(AND(INDEX(tblRoster[Start Date],$A18)&lt;=EOMONTH(K$4,0),OR(INDEX(tblRoster[End Date],$A18)="",INDEX(tblRoster[End Date],$A18)&gt;=K$4)),INDEX(tblRoster[Annual Salary],$A18)/12*(1+Assumptions!$B$3)*IF(MONTH(K$4)&gt;=Assumptions!$B$5,1+Assumptions!$B$4,1),0)</f>
        <v>12775.433333333332</v>
      </c>
      <c r="L18" s="5">
        <f>IF(AND(INDEX(tblRoster[Start Date],$A18)&lt;=EOMONTH(L$4,0),OR(INDEX(tblRoster[End Date],$A18)="",INDEX(tblRoster[End Date],$A18)&gt;=L$4)),INDEX(tblRoster[Annual Salary],$A18)/12*(1+Assumptions!$B$3)*IF(MONTH(L$4)&gt;=Assumptions!$B$5,1+Assumptions!$B$4,1),0)</f>
        <v>12775.433333333332</v>
      </c>
      <c r="M18" s="5">
        <f>IF(AND(INDEX(tblRoster[Start Date],$A18)&lt;=EOMONTH(M$4,0),OR(INDEX(tblRoster[End Date],$A18)="",INDEX(tblRoster[End Date],$A18)&gt;=M$4)),INDEX(tblRoster[Annual Salary],$A18)/12*(1+Assumptions!$B$3)*IF(MONTH(M$4)&gt;=Assumptions!$B$5,1+Assumptions!$B$4,1),0)</f>
        <v>12775.433333333332</v>
      </c>
      <c r="N18" s="5">
        <f>IF(AND(INDEX(tblRoster[Start Date],$A18)&lt;=EOMONTH(N$4,0),OR(INDEX(tblRoster[End Date],$A18)="",INDEX(tblRoster[End Date],$A18)&gt;=N$4)),INDEX(tblRoster[Annual Salary],$A18)/12*(1+Assumptions!$B$3)*IF(MONTH(N$4)&gt;=Assumptions!$B$5,1+Assumptions!$B$4,1),0)</f>
        <v>12775.433333333332</v>
      </c>
      <c r="O18" s="5">
        <f>IF(AND(INDEX(tblRoster[Start Date],$A18)&lt;=EOMONTH(O$4,0),OR(INDEX(tblRoster[End Date],$A18)="",INDEX(tblRoster[End Date],$A18)&gt;=O$4)),INDEX(tblRoster[Annual Salary],$A18)/12*(1+Assumptions!$B$3)*IF(MONTH(O$4)&gt;=Assumptions!$B$5,1+Assumptions!$B$4,1),0)</f>
        <v>12775.433333333332</v>
      </c>
      <c r="P18" s="5">
        <f>SUM(D18:O18)</f>
        <v>152188.9</v>
      </c>
    </row>
    <row r="19">
      <c r="A19" t="n">
        <v>15</v>
      </c>
      <c r="B19" t="str">
        <f>INDEX(tblRoster[Emp ID],$A19)</f>
        <v>E116</v>
      </c>
      <c r="C19" t="str">
        <f>INDEX(tblRoster[Department],$A19)</f>
        <v>Marketing</v>
      </c>
      <c r="D19" s="5">
        <f>IF(AND(INDEX(tblRoster[Start Date],$A19)&lt;=EOMONTH(D$4,0),OR(INDEX(tblRoster[End Date],$A19)="",INDEX(tblRoster[End Date],$A19)&gt;=D$4)),INDEX(tblRoster[Annual Salary],$A19)/12*(1+Assumptions!$B$3)*IF(MONTH(D$4)&gt;=Assumptions!$B$5,1+Assumptions!$B$4,1),0)</f>
        <v>18198.333333333332</v>
      </c>
      <c r="E19" s="5">
        <f>IF(AND(INDEX(tblRoster[Start Date],$A19)&lt;=EOMONTH(E$4,0),OR(INDEX(tblRoster[End Date],$A19)="",INDEX(tblRoster[End Date],$A19)&gt;=E$4)),INDEX(tblRoster[Annual Salary],$A19)/12*(1+Assumptions!$B$3)*IF(MONTH(E$4)&gt;=Assumptions!$B$5,1+Assumptions!$B$4,1),0)</f>
        <v>18198.333333333332</v>
      </c>
      <c r="F19" s="5">
        <f>IF(AND(INDEX(tblRoster[Start Date],$A19)&lt;=EOMONTH(F$4,0),OR(INDEX(tblRoster[End Date],$A19)="",INDEX(tblRoster[End Date],$A19)&gt;=F$4)),INDEX(tblRoster[Annual Salary],$A19)/12*(1+Assumptions!$B$3)*IF(MONTH(F$4)&gt;=Assumptions!$B$5,1+Assumptions!$B$4,1),0)</f>
        <v>18198.333333333332</v>
      </c>
      <c r="G19" s="5">
        <f>IF(AND(INDEX(tblRoster[Start Date],$A19)&lt;=EOMONTH(G$4,0),OR(INDEX(tblRoster[End Date],$A19)="",INDEX(tblRoster[End Date],$A19)&gt;=G$4)),INDEX(tblRoster[Annual Salary],$A19)/12*(1+Assumptions!$B$3)*IF(MONTH(G$4)&gt;=Assumptions!$B$5,1+Assumptions!$B$4,1),0)</f>
        <v>18744.283333333333</v>
      </c>
      <c r="H19" s="5">
        <f>IF(AND(INDEX(tblRoster[Start Date],$A19)&lt;=EOMONTH(H$4,0),OR(INDEX(tblRoster[End Date],$A19)="",INDEX(tblRoster[End Date],$A19)&gt;=H$4)),INDEX(tblRoster[Annual Salary],$A19)/12*(1+Assumptions!$B$3)*IF(MONTH(H$4)&gt;=Assumptions!$B$5,1+Assumptions!$B$4,1),0)</f>
        <v>18744.283333333333</v>
      </c>
      <c r="I19" s="5">
        <f>IF(AND(INDEX(tblRoster[Start Date],$A19)&lt;=EOMONTH(I$4,0),OR(INDEX(tblRoster[End Date],$A19)="",INDEX(tblRoster[End Date],$A19)&gt;=I$4)),INDEX(tblRoster[Annual Salary],$A19)/12*(1+Assumptions!$B$3)*IF(MONTH(I$4)&gt;=Assumptions!$B$5,1+Assumptions!$B$4,1),0)</f>
        <v>18744.283333333333</v>
      </c>
      <c r="J19" s="5">
        <f>IF(AND(INDEX(tblRoster[Start Date],$A19)&lt;=EOMONTH(J$4,0),OR(INDEX(tblRoster[End Date],$A19)="",INDEX(tblRoster[End Date],$A19)&gt;=J$4)),INDEX(tblRoster[Annual Salary],$A19)/12*(1+Assumptions!$B$3)*IF(MONTH(J$4)&gt;=Assumptions!$B$5,1+Assumptions!$B$4,1),0)</f>
        <v>18744.283333333333</v>
      </c>
      <c r="K19" s="5">
        <f>IF(AND(INDEX(tblRoster[Start Date],$A19)&lt;=EOMONTH(K$4,0),OR(INDEX(tblRoster[End Date],$A19)="",INDEX(tblRoster[End Date],$A19)&gt;=K$4)),INDEX(tblRoster[Annual Salary],$A19)/12*(1+Assumptions!$B$3)*IF(MONTH(K$4)&gt;=Assumptions!$B$5,1+Assumptions!$B$4,1),0)</f>
        <v>18744.283333333333</v>
      </c>
      <c r="L19" s="5">
        <f>IF(AND(INDEX(tblRoster[Start Date],$A19)&lt;=EOMONTH(L$4,0),OR(INDEX(tblRoster[End Date],$A19)="",INDEX(tblRoster[End Date],$A19)&gt;=L$4)),INDEX(tblRoster[Annual Salary],$A19)/12*(1+Assumptions!$B$3)*IF(MONTH(L$4)&gt;=Assumptions!$B$5,1+Assumptions!$B$4,1),0)</f>
        <v>18744.283333333333</v>
      </c>
      <c r="M19" s="5">
        <f>IF(AND(INDEX(tblRoster[Start Date],$A19)&lt;=EOMONTH(M$4,0),OR(INDEX(tblRoster[End Date],$A19)="",INDEX(tblRoster[End Date],$A19)&gt;=M$4)),INDEX(tblRoster[Annual Salary],$A19)/12*(1+Assumptions!$B$3)*IF(MONTH(M$4)&gt;=Assumptions!$B$5,1+Assumptions!$B$4,1),0)</f>
        <v>18744.283333333333</v>
      </c>
      <c r="N19" s="5">
        <f>IF(AND(INDEX(tblRoster[Start Date],$A19)&lt;=EOMONTH(N$4,0),OR(INDEX(tblRoster[End Date],$A19)="",INDEX(tblRoster[End Date],$A19)&gt;=N$4)),INDEX(tblRoster[Annual Salary],$A19)/12*(1+Assumptions!$B$3)*IF(MONTH(N$4)&gt;=Assumptions!$B$5,1+Assumptions!$B$4,1),0)</f>
        <v>18744.283333333333</v>
      </c>
      <c r="O19" s="5">
        <f>IF(AND(INDEX(tblRoster[Start Date],$A19)&lt;=EOMONTH(O$4,0),OR(INDEX(tblRoster[End Date],$A19)="",INDEX(tblRoster[End Date],$A19)&gt;=O$4)),INDEX(tblRoster[Annual Salary],$A19)/12*(1+Assumptions!$B$3)*IF(MONTH(O$4)&gt;=Assumptions!$B$5,1+Assumptions!$B$4,1),0)</f>
        <v>18744.283333333333</v>
      </c>
      <c r="P19" s="5">
        <f>SUM(D19:O19)</f>
        <v>223293.54999999993</v>
      </c>
    </row>
    <row r="20">
      <c r="A20" t="n">
        <v>16</v>
      </c>
      <c r="B20" t="str">
        <f>INDEX(tblRoster[Emp ID],$A20)</f>
        <v>E117</v>
      </c>
      <c r="C20" t="str">
        <f>INDEX(tblRoster[Department],$A20)</f>
        <v>Support</v>
      </c>
      <c r="D20" s="5">
        <f>IF(AND(INDEX(tblRoster[Start Date],$A20)&lt;=EOMONTH(D$4,0),OR(INDEX(tblRoster[End Date],$A20)="",INDEX(tblRoster[End Date],$A20)&gt;=D$4)),INDEX(tblRoster[Annual Salary],$A20)/12*(1+Assumptions!$B$3)*IF(MONTH(D$4)&gt;=Assumptions!$B$5,1+Assumptions!$B$4,1),0)</f>
        <v>18910</v>
      </c>
      <c r="E20" s="5">
        <f>IF(AND(INDEX(tblRoster[Start Date],$A20)&lt;=EOMONTH(E$4,0),OR(INDEX(tblRoster[End Date],$A20)="",INDEX(tblRoster[End Date],$A20)&gt;=E$4)),INDEX(tblRoster[Annual Salary],$A20)/12*(1+Assumptions!$B$3)*IF(MONTH(E$4)&gt;=Assumptions!$B$5,1+Assumptions!$B$4,1),0)</f>
        <v>18910</v>
      </c>
      <c r="F20" s="5">
        <f>IF(AND(INDEX(tblRoster[Start Date],$A20)&lt;=EOMONTH(F$4,0),OR(INDEX(tblRoster[End Date],$A20)="",INDEX(tblRoster[End Date],$A20)&gt;=F$4)),INDEX(tblRoster[Annual Salary],$A20)/12*(1+Assumptions!$B$3)*IF(MONTH(F$4)&gt;=Assumptions!$B$5,1+Assumptions!$B$4,1),0)</f>
        <v>18910</v>
      </c>
      <c r="G20" s="5">
        <f>IF(AND(INDEX(tblRoster[Start Date],$A20)&lt;=EOMONTH(G$4,0),OR(INDEX(tblRoster[End Date],$A20)="",INDEX(tblRoster[End Date],$A20)&gt;=G$4)),INDEX(tblRoster[Annual Salary],$A20)/12*(1+Assumptions!$B$3)*IF(MONTH(G$4)&gt;=Assumptions!$B$5,1+Assumptions!$B$4,1),0)</f>
        <v>19477.3</v>
      </c>
      <c r="H20" s="5">
        <f>IF(AND(INDEX(tblRoster[Start Date],$A20)&lt;=EOMONTH(H$4,0),OR(INDEX(tblRoster[End Date],$A20)="",INDEX(tblRoster[End Date],$A20)&gt;=H$4)),INDEX(tblRoster[Annual Salary],$A20)/12*(1+Assumptions!$B$3)*IF(MONTH(H$4)&gt;=Assumptions!$B$5,1+Assumptions!$B$4,1),0)</f>
        <v>19477.3</v>
      </c>
      <c r="I20" s="5">
        <f>IF(AND(INDEX(tblRoster[Start Date],$A20)&lt;=EOMONTH(I$4,0),OR(INDEX(tblRoster[End Date],$A20)="",INDEX(tblRoster[End Date],$A20)&gt;=I$4)),INDEX(tblRoster[Annual Salary],$A20)/12*(1+Assumptions!$B$3)*IF(MONTH(I$4)&gt;=Assumptions!$B$5,1+Assumptions!$B$4,1),0)</f>
        <v>19477.3</v>
      </c>
      <c r="J20" s="5">
        <f>IF(AND(INDEX(tblRoster[Start Date],$A20)&lt;=EOMONTH(J$4,0),OR(INDEX(tblRoster[End Date],$A20)="",INDEX(tblRoster[End Date],$A20)&gt;=J$4)),INDEX(tblRoster[Annual Salary],$A20)/12*(1+Assumptions!$B$3)*IF(MONTH(J$4)&gt;=Assumptions!$B$5,1+Assumptions!$B$4,1),0)</f>
        <v>19477.3</v>
      </c>
      <c r="K20" s="5">
        <f>IF(AND(INDEX(tblRoster[Start Date],$A20)&lt;=EOMONTH(K$4,0),OR(INDEX(tblRoster[End Date],$A20)="",INDEX(tblRoster[End Date],$A20)&gt;=K$4)),INDEX(tblRoster[Annual Salary],$A20)/12*(1+Assumptions!$B$3)*IF(MONTH(K$4)&gt;=Assumptions!$B$5,1+Assumptions!$B$4,1),0)</f>
        <v>19477.3</v>
      </c>
      <c r="L20" s="5">
        <f>IF(AND(INDEX(tblRoster[Start Date],$A20)&lt;=EOMONTH(L$4,0),OR(INDEX(tblRoster[End Date],$A20)="",INDEX(tblRoster[End Date],$A20)&gt;=L$4)),INDEX(tblRoster[Annual Salary],$A20)/12*(1+Assumptions!$B$3)*IF(MONTH(L$4)&gt;=Assumptions!$B$5,1+Assumptions!$B$4,1),0)</f>
        <v>19477.3</v>
      </c>
      <c r="M20" s="5">
        <f>IF(AND(INDEX(tblRoster[Start Date],$A20)&lt;=EOMONTH(M$4,0),OR(INDEX(tblRoster[End Date],$A20)="",INDEX(tblRoster[End Date],$A20)&gt;=M$4)),INDEX(tblRoster[Annual Salary],$A20)/12*(1+Assumptions!$B$3)*IF(MONTH(M$4)&gt;=Assumptions!$B$5,1+Assumptions!$B$4,1),0)</f>
        <v>19477.3</v>
      </c>
      <c r="N20" s="5">
        <f>IF(AND(INDEX(tblRoster[Start Date],$A20)&lt;=EOMONTH(N$4,0),OR(INDEX(tblRoster[End Date],$A20)="",INDEX(tblRoster[End Date],$A20)&gt;=N$4)),INDEX(tblRoster[Annual Salary],$A20)/12*(1+Assumptions!$B$3)*IF(MONTH(N$4)&gt;=Assumptions!$B$5,1+Assumptions!$B$4,1),0)</f>
        <v>19477.3</v>
      </c>
      <c r="O20" s="5">
        <f>IF(AND(INDEX(tblRoster[Start Date],$A20)&lt;=EOMONTH(O$4,0),OR(INDEX(tblRoster[End Date],$A20)="",INDEX(tblRoster[End Date],$A20)&gt;=O$4)),INDEX(tblRoster[Annual Salary],$A20)/12*(1+Assumptions!$B$3)*IF(MONTH(O$4)&gt;=Assumptions!$B$5,1+Assumptions!$B$4,1),0)</f>
        <v>19477.3</v>
      </c>
      <c r="P20" s="5">
        <f>SUM(D20:O20)</f>
        <v>232025.69999999995</v>
      </c>
    </row>
    <row r="21">
      <c r="A21" t="n">
        <v>17</v>
      </c>
      <c r="B21" t="str">
        <f>INDEX(tblRoster[Emp ID],$A21)</f>
        <v>E118</v>
      </c>
      <c r="C21" t="str">
        <f>INDEX(tblRoster[Department],$A21)</f>
        <v>Sales</v>
      </c>
      <c r="D21" s="5">
        <f>IF(AND(INDEX(tblRoster[Start Date],$A21)&lt;=EOMONTH(D$4,0),OR(INDEX(tblRoster[End Date],$A21)="",INDEX(tblRoster[End Date],$A21)&gt;=D$4)),INDEX(tblRoster[Annual Salary],$A21)/12*(1+Assumptions!$B$3)*IF(MONTH(D$4)&gt;=Assumptions!$B$5,1+Assumptions!$B$4,1),0)</f>
        <v>11793.333333333332</v>
      </c>
      <c r="E21" s="5">
        <f>IF(AND(INDEX(tblRoster[Start Date],$A21)&lt;=EOMONTH(E$4,0),OR(INDEX(tblRoster[End Date],$A21)="",INDEX(tblRoster[End Date],$A21)&gt;=E$4)),INDEX(tblRoster[Annual Salary],$A21)/12*(1+Assumptions!$B$3)*IF(MONTH(E$4)&gt;=Assumptions!$B$5,1+Assumptions!$B$4,1),0)</f>
        <v>11793.333333333332</v>
      </c>
      <c r="F21" s="5">
        <f>IF(AND(INDEX(tblRoster[Start Date],$A21)&lt;=EOMONTH(F$4,0),OR(INDEX(tblRoster[End Date],$A21)="",INDEX(tblRoster[End Date],$A21)&gt;=F$4)),INDEX(tblRoster[Annual Salary],$A21)/12*(1+Assumptions!$B$3)*IF(MONTH(F$4)&gt;=Assumptions!$B$5,1+Assumptions!$B$4,1),0)</f>
        <v>11793.333333333332</v>
      </c>
      <c r="G21" s="5">
        <f>IF(AND(INDEX(tblRoster[Start Date],$A21)&lt;=EOMONTH(G$4,0),OR(INDEX(tblRoster[End Date],$A21)="",INDEX(tblRoster[End Date],$A21)&gt;=G$4)),INDEX(tblRoster[Annual Salary],$A21)/12*(1+Assumptions!$B$3)*IF(MONTH(G$4)&gt;=Assumptions!$B$5,1+Assumptions!$B$4,1),0)</f>
        <v>12147.133333333333</v>
      </c>
      <c r="H21" s="5">
        <f>IF(AND(INDEX(tblRoster[Start Date],$A21)&lt;=EOMONTH(H$4,0),OR(INDEX(tblRoster[End Date],$A21)="",INDEX(tblRoster[End Date],$A21)&gt;=H$4)),INDEX(tblRoster[Annual Salary],$A21)/12*(1+Assumptions!$B$3)*IF(MONTH(H$4)&gt;=Assumptions!$B$5,1+Assumptions!$B$4,1),0)</f>
        <v>12147.133333333333</v>
      </c>
      <c r="I21" s="5">
        <f>IF(AND(INDEX(tblRoster[Start Date],$A21)&lt;=EOMONTH(I$4,0),OR(INDEX(tblRoster[End Date],$A21)="",INDEX(tblRoster[End Date],$A21)&gt;=I$4)),INDEX(tblRoster[Annual Salary],$A21)/12*(1+Assumptions!$B$3)*IF(MONTH(I$4)&gt;=Assumptions!$B$5,1+Assumptions!$B$4,1),0)</f>
        <v>12147.133333333333</v>
      </c>
      <c r="J21" s="5">
        <f>IF(AND(INDEX(tblRoster[Start Date],$A21)&lt;=EOMONTH(J$4,0),OR(INDEX(tblRoster[End Date],$A21)="",INDEX(tblRoster[End Date],$A21)&gt;=J$4)),INDEX(tblRoster[Annual Salary],$A21)/12*(1+Assumptions!$B$3)*IF(MONTH(J$4)&gt;=Assumptions!$B$5,1+Assumptions!$B$4,1),0)</f>
        <v>12147.133333333333</v>
      </c>
      <c r="K21" s="5">
        <f>IF(AND(INDEX(tblRoster[Start Date],$A21)&lt;=EOMONTH(K$4,0),OR(INDEX(tblRoster[End Date],$A21)="",INDEX(tblRoster[End Date],$A21)&gt;=K$4)),INDEX(tblRoster[Annual Salary],$A21)/12*(1+Assumptions!$B$3)*IF(MONTH(K$4)&gt;=Assumptions!$B$5,1+Assumptions!$B$4,1),0)</f>
        <v>12147.133333333333</v>
      </c>
      <c r="L21" s="5">
        <f>IF(AND(INDEX(tblRoster[Start Date],$A21)&lt;=EOMONTH(L$4,0),OR(INDEX(tblRoster[End Date],$A21)="",INDEX(tblRoster[End Date],$A21)&gt;=L$4)),INDEX(tblRoster[Annual Salary],$A21)/12*(1+Assumptions!$B$3)*IF(MONTH(L$4)&gt;=Assumptions!$B$5,1+Assumptions!$B$4,1),0)</f>
        <v>12147.133333333333</v>
      </c>
      <c r="M21" s="5">
        <f>IF(AND(INDEX(tblRoster[Start Date],$A21)&lt;=EOMONTH(M$4,0),OR(INDEX(tblRoster[End Date],$A21)="",INDEX(tblRoster[End Date],$A21)&gt;=M$4)),INDEX(tblRoster[Annual Salary],$A21)/12*(1+Assumptions!$B$3)*IF(MONTH(M$4)&gt;=Assumptions!$B$5,1+Assumptions!$B$4,1),0)</f>
        <v>12147.133333333333</v>
      </c>
      <c r="N21" s="5">
        <f>IF(AND(INDEX(tblRoster[Start Date],$A21)&lt;=EOMONTH(N$4,0),OR(INDEX(tblRoster[End Date],$A21)="",INDEX(tblRoster[End Date],$A21)&gt;=N$4)),INDEX(tblRoster[Annual Salary],$A21)/12*(1+Assumptions!$B$3)*IF(MONTH(N$4)&gt;=Assumptions!$B$5,1+Assumptions!$B$4,1),0)</f>
        <v>12147.133333333333</v>
      </c>
      <c r="O21" s="5">
        <f>IF(AND(INDEX(tblRoster[Start Date],$A21)&lt;=EOMONTH(O$4,0),OR(INDEX(tblRoster[End Date],$A21)="",INDEX(tblRoster[End Date],$A21)&gt;=O$4)),INDEX(tblRoster[Annual Salary],$A21)/12*(1+Assumptions!$B$3)*IF(MONTH(O$4)&gt;=Assumptions!$B$5,1+Assumptions!$B$4,1),0)</f>
        <v>12147.133333333333</v>
      </c>
      <c r="P21" s="5">
        <f>SUM(D21:O21)</f>
        <v>144704.19999999998</v>
      </c>
    </row>
    <row r="22">
      <c r="A22" t="n">
        <v>18</v>
      </c>
      <c r="B22" t="str">
        <f>INDEX(tblRoster[Emp ID],$A22)</f>
        <v>E119</v>
      </c>
      <c r="C22" t="str">
        <f>INDEX(tblRoster[Department],$A22)</f>
        <v>G&amp;A</v>
      </c>
      <c r="D22" s="5">
        <f>IF(AND(INDEX(tblRoster[Start Date],$A22)&lt;=EOMONTH(D$4,0),OR(INDEX(tblRoster[End Date],$A22)="",INDEX(tblRoster[End Date],$A22)&gt;=D$4)),INDEX(tblRoster[Annual Salary],$A22)/12*(1+Assumptions!$B$3)*IF(MONTH(D$4)&gt;=Assumptions!$B$5,1+Assumptions!$B$4,1),0)</f>
        <v>9150</v>
      </c>
      <c r="E22" s="5">
        <f>IF(AND(INDEX(tblRoster[Start Date],$A22)&lt;=EOMONTH(E$4,0),OR(INDEX(tblRoster[End Date],$A22)="",INDEX(tblRoster[End Date],$A22)&gt;=E$4)),INDEX(tblRoster[Annual Salary],$A22)/12*(1+Assumptions!$B$3)*IF(MONTH(E$4)&gt;=Assumptions!$B$5,1+Assumptions!$B$4,1),0)</f>
        <v>9150</v>
      </c>
      <c r="F22" s="5">
        <f>IF(AND(INDEX(tblRoster[Start Date],$A22)&lt;=EOMONTH(F$4,0),OR(INDEX(tblRoster[End Date],$A22)="",INDEX(tblRoster[End Date],$A22)&gt;=F$4)),INDEX(tblRoster[Annual Salary],$A22)/12*(1+Assumptions!$B$3)*IF(MONTH(F$4)&gt;=Assumptions!$B$5,1+Assumptions!$B$4,1),0)</f>
        <v>9150</v>
      </c>
      <c r="G22" s="5">
        <f>IF(AND(INDEX(tblRoster[Start Date],$A22)&lt;=EOMONTH(G$4,0),OR(INDEX(tblRoster[End Date],$A22)="",INDEX(tblRoster[End Date],$A22)&gt;=G$4)),INDEX(tblRoster[Annual Salary],$A22)/12*(1+Assumptions!$B$3)*IF(MONTH(G$4)&gt;=Assumptions!$B$5,1+Assumptions!$B$4,1),0)</f>
        <v>9424.5</v>
      </c>
      <c r="H22" s="5">
        <f>IF(AND(INDEX(tblRoster[Start Date],$A22)&lt;=EOMONTH(H$4,0),OR(INDEX(tblRoster[End Date],$A22)="",INDEX(tblRoster[End Date],$A22)&gt;=H$4)),INDEX(tblRoster[Annual Salary],$A22)/12*(1+Assumptions!$B$3)*IF(MONTH(H$4)&gt;=Assumptions!$B$5,1+Assumptions!$B$4,1),0)</f>
        <v>9424.5</v>
      </c>
      <c r="I22" s="5">
        <f>IF(AND(INDEX(tblRoster[Start Date],$A22)&lt;=EOMONTH(I$4,0),OR(INDEX(tblRoster[End Date],$A22)="",INDEX(tblRoster[End Date],$A22)&gt;=I$4)),INDEX(tblRoster[Annual Salary],$A22)/12*(1+Assumptions!$B$3)*IF(MONTH(I$4)&gt;=Assumptions!$B$5,1+Assumptions!$B$4,1),0)</f>
        <v>9424.5</v>
      </c>
      <c r="J22" s="5">
        <f>IF(AND(INDEX(tblRoster[Start Date],$A22)&lt;=EOMONTH(J$4,0),OR(INDEX(tblRoster[End Date],$A22)="",INDEX(tblRoster[End Date],$A22)&gt;=J$4)),INDEX(tblRoster[Annual Salary],$A22)/12*(1+Assumptions!$B$3)*IF(MONTH(J$4)&gt;=Assumptions!$B$5,1+Assumptions!$B$4,1),0)</f>
        <v>9424.5</v>
      </c>
      <c r="K22" s="5">
        <f>IF(AND(INDEX(tblRoster[Start Date],$A22)&lt;=EOMONTH(K$4,0),OR(INDEX(tblRoster[End Date],$A22)="",INDEX(tblRoster[End Date],$A22)&gt;=K$4)),INDEX(tblRoster[Annual Salary],$A22)/12*(1+Assumptions!$B$3)*IF(MONTH(K$4)&gt;=Assumptions!$B$5,1+Assumptions!$B$4,1),0)</f>
        <v>9424.5</v>
      </c>
      <c r="L22" s="5">
        <f>IF(AND(INDEX(tblRoster[Start Date],$A22)&lt;=EOMONTH(L$4,0),OR(INDEX(tblRoster[End Date],$A22)="",INDEX(tblRoster[End Date],$A22)&gt;=L$4)),INDEX(tblRoster[Annual Salary],$A22)/12*(1+Assumptions!$B$3)*IF(MONTH(L$4)&gt;=Assumptions!$B$5,1+Assumptions!$B$4,1),0)</f>
        <v>9424.5</v>
      </c>
      <c r="M22" s="5">
        <f>IF(AND(INDEX(tblRoster[Start Date],$A22)&lt;=EOMONTH(M$4,0),OR(INDEX(tblRoster[End Date],$A22)="",INDEX(tblRoster[End Date],$A22)&gt;=M$4)),INDEX(tblRoster[Annual Salary],$A22)/12*(1+Assumptions!$B$3)*IF(MONTH(M$4)&gt;=Assumptions!$B$5,1+Assumptions!$B$4,1),0)</f>
        <v>9424.5</v>
      </c>
      <c r="N22" s="5">
        <f>IF(AND(INDEX(tblRoster[Start Date],$A22)&lt;=EOMONTH(N$4,0),OR(INDEX(tblRoster[End Date],$A22)="",INDEX(tblRoster[End Date],$A22)&gt;=N$4)),INDEX(tblRoster[Annual Salary],$A22)/12*(1+Assumptions!$B$3)*IF(MONTH(N$4)&gt;=Assumptions!$B$5,1+Assumptions!$B$4,1),0)</f>
        <v>9424.5</v>
      </c>
      <c r="O22" s="5">
        <f>IF(AND(INDEX(tblRoster[Start Date],$A22)&lt;=EOMONTH(O$4,0),OR(INDEX(tblRoster[End Date],$A22)="",INDEX(tblRoster[End Date],$A22)&gt;=O$4)),INDEX(tblRoster[Annual Salary],$A22)/12*(1+Assumptions!$B$3)*IF(MONTH(O$4)&gt;=Assumptions!$B$5,1+Assumptions!$B$4,1),0)</f>
        <v>9424.5</v>
      </c>
      <c r="P22" s="5">
        <f>SUM(D22:O22)</f>
        <v>112270.5</v>
      </c>
    </row>
    <row r="23">
      <c r="A23" t="n">
        <v>19</v>
      </c>
      <c r="B23" t="str">
        <f>INDEX(tblRoster[Emp ID],$A23)</f>
        <v>E120</v>
      </c>
      <c r="C23" t="str">
        <f>INDEX(tblRoster[Department],$A23)</f>
        <v>Engineering</v>
      </c>
      <c r="D23" s="5">
        <f>IF(AND(INDEX(tblRoster[Start Date],$A23)&lt;=EOMONTH(D$4,0),OR(INDEX(tblRoster[End Date],$A23)="",INDEX(tblRoster[End Date],$A23)&gt;=D$4)),INDEX(tblRoster[Annual Salary],$A23)/12*(1+Assumptions!$B$3)*IF(MONTH(D$4)&gt;=Assumptions!$B$5,1+Assumptions!$B$4,1),0)</f>
        <v>19926.666666666668</v>
      </c>
      <c r="E23" s="5">
        <f>IF(AND(INDEX(tblRoster[Start Date],$A23)&lt;=EOMONTH(E$4,0),OR(INDEX(tblRoster[End Date],$A23)="",INDEX(tblRoster[End Date],$A23)&gt;=E$4)),INDEX(tblRoster[Annual Salary],$A23)/12*(1+Assumptions!$B$3)*IF(MONTH(E$4)&gt;=Assumptions!$B$5,1+Assumptions!$B$4,1),0)</f>
        <v>19926.666666666668</v>
      </c>
      <c r="F23" s="5">
        <f>IF(AND(INDEX(tblRoster[Start Date],$A23)&lt;=EOMONTH(F$4,0),OR(INDEX(tblRoster[End Date],$A23)="",INDEX(tblRoster[End Date],$A23)&gt;=F$4)),INDEX(tblRoster[Annual Salary],$A23)/12*(1+Assumptions!$B$3)*IF(MONTH(F$4)&gt;=Assumptions!$B$5,1+Assumptions!$B$4,1),0)</f>
        <v>19926.666666666668</v>
      </c>
      <c r="G23" s="5">
        <f>IF(AND(INDEX(tblRoster[Start Date],$A23)&lt;=EOMONTH(G$4,0),OR(INDEX(tblRoster[End Date],$A23)="",INDEX(tblRoster[End Date],$A23)&gt;=G$4)),INDEX(tblRoster[Annual Salary],$A23)/12*(1+Assumptions!$B$3)*IF(MONTH(G$4)&gt;=Assumptions!$B$5,1+Assumptions!$B$4,1),0)</f>
        <v>20524.466666666667</v>
      </c>
      <c r="H23" s="5">
        <f>IF(AND(INDEX(tblRoster[Start Date],$A23)&lt;=EOMONTH(H$4,0),OR(INDEX(tblRoster[End Date],$A23)="",INDEX(tblRoster[End Date],$A23)&gt;=H$4)),INDEX(tblRoster[Annual Salary],$A23)/12*(1+Assumptions!$B$3)*IF(MONTH(H$4)&gt;=Assumptions!$B$5,1+Assumptions!$B$4,1),0)</f>
        <v>20524.466666666667</v>
      </c>
      <c r="I23" s="5">
        <f>IF(AND(INDEX(tblRoster[Start Date],$A23)&lt;=EOMONTH(I$4,0),OR(INDEX(tblRoster[End Date],$A23)="",INDEX(tblRoster[End Date],$A23)&gt;=I$4)),INDEX(tblRoster[Annual Salary],$A23)/12*(1+Assumptions!$B$3)*IF(MONTH(I$4)&gt;=Assumptions!$B$5,1+Assumptions!$B$4,1),0)</f>
        <v>20524.466666666667</v>
      </c>
      <c r="J23" s="5">
        <f>IF(AND(INDEX(tblRoster[Start Date],$A23)&lt;=EOMONTH(J$4,0),OR(INDEX(tblRoster[End Date],$A23)="",INDEX(tblRoster[End Date],$A23)&gt;=J$4)),INDEX(tblRoster[Annual Salary],$A23)/12*(1+Assumptions!$B$3)*IF(MONTH(J$4)&gt;=Assumptions!$B$5,1+Assumptions!$B$4,1),0)</f>
        <v>20524.466666666667</v>
      </c>
      <c r="K23" s="5">
        <f>IF(AND(INDEX(tblRoster[Start Date],$A23)&lt;=EOMONTH(K$4,0),OR(INDEX(tblRoster[End Date],$A23)="",INDEX(tblRoster[End Date],$A23)&gt;=K$4)),INDEX(tblRoster[Annual Salary],$A23)/12*(1+Assumptions!$B$3)*IF(MONTH(K$4)&gt;=Assumptions!$B$5,1+Assumptions!$B$4,1),0)</f>
        <v>20524.466666666667</v>
      </c>
      <c r="L23" s="5">
        <f>IF(AND(INDEX(tblRoster[Start Date],$A23)&lt;=EOMONTH(L$4,0),OR(INDEX(tblRoster[End Date],$A23)="",INDEX(tblRoster[End Date],$A23)&gt;=L$4)),INDEX(tblRoster[Annual Salary],$A23)/12*(1+Assumptions!$B$3)*IF(MONTH(L$4)&gt;=Assumptions!$B$5,1+Assumptions!$B$4,1),0)</f>
        <v>20524.466666666667</v>
      </c>
      <c r="M23" s="5">
        <f>IF(AND(INDEX(tblRoster[Start Date],$A23)&lt;=EOMONTH(M$4,0),OR(INDEX(tblRoster[End Date],$A23)="",INDEX(tblRoster[End Date],$A23)&gt;=M$4)),INDEX(tblRoster[Annual Salary],$A23)/12*(1+Assumptions!$B$3)*IF(MONTH(M$4)&gt;=Assumptions!$B$5,1+Assumptions!$B$4,1),0)</f>
        <v>20524.466666666667</v>
      </c>
      <c r="N23" s="5">
        <f>IF(AND(INDEX(tblRoster[Start Date],$A23)&lt;=EOMONTH(N$4,0),OR(INDEX(tblRoster[End Date],$A23)="",INDEX(tblRoster[End Date],$A23)&gt;=N$4)),INDEX(tblRoster[Annual Salary],$A23)/12*(1+Assumptions!$B$3)*IF(MONTH(N$4)&gt;=Assumptions!$B$5,1+Assumptions!$B$4,1),0)</f>
        <v>20524.466666666667</v>
      </c>
      <c r="O23" s="5">
        <f>IF(AND(INDEX(tblRoster[Start Date],$A23)&lt;=EOMONTH(O$4,0),OR(INDEX(tblRoster[End Date],$A23)="",INDEX(tblRoster[End Date],$A23)&gt;=O$4)),INDEX(tblRoster[Annual Salary],$A23)/12*(1+Assumptions!$B$3)*IF(MONTH(O$4)&gt;=Assumptions!$B$5,1+Assumptions!$B$4,1),0)</f>
        <v>20524.466666666667</v>
      </c>
      <c r="P23" s="5">
        <f>SUM(D23:O23)</f>
        <v>244500.20000000007</v>
      </c>
    </row>
    <row r="24">
      <c r="A24" t="n">
        <v>20</v>
      </c>
      <c r="B24" t="str">
        <f>INDEX(tblRoster[Emp ID],$A24)</f>
        <v>E121</v>
      </c>
      <c r="C24" t="str">
        <f>INDEX(tblRoster[Department],$A24)</f>
        <v>Marketing</v>
      </c>
      <c r="D24" s="5">
        <f>IF(AND(INDEX(tblRoster[Start Date],$A24)&lt;=EOMONTH(D$4,0),OR(INDEX(tblRoster[End Date],$A24)="",INDEX(tblRoster[End Date],$A24)&gt;=D$4)),INDEX(tblRoster[Annual Salary],$A24)/12*(1+Assumptions!$B$3)*IF(MONTH(D$4)&gt;=Assumptions!$B$5,1+Assumptions!$B$4,1),0)</f>
        <v>14538.333333333332</v>
      </c>
      <c r="E24" s="5">
        <f>IF(AND(INDEX(tblRoster[Start Date],$A24)&lt;=EOMONTH(E$4,0),OR(INDEX(tblRoster[End Date],$A24)="",INDEX(tblRoster[End Date],$A24)&gt;=E$4)),INDEX(tblRoster[Annual Salary],$A24)/12*(1+Assumptions!$B$3)*IF(MONTH(E$4)&gt;=Assumptions!$B$5,1+Assumptions!$B$4,1),0)</f>
        <v>14538.333333333332</v>
      </c>
      <c r="F24" s="5">
        <f>IF(AND(INDEX(tblRoster[Start Date],$A24)&lt;=EOMONTH(F$4,0),OR(INDEX(tblRoster[End Date],$A24)="",INDEX(tblRoster[End Date],$A24)&gt;=F$4)),INDEX(tblRoster[Annual Salary],$A24)/12*(1+Assumptions!$B$3)*IF(MONTH(F$4)&gt;=Assumptions!$B$5,1+Assumptions!$B$4,1),0)</f>
        <v>14538.333333333332</v>
      </c>
      <c r="G24" s="5">
        <f>IF(AND(INDEX(tblRoster[Start Date],$A24)&lt;=EOMONTH(G$4,0),OR(INDEX(tblRoster[End Date],$A24)="",INDEX(tblRoster[End Date],$A24)&gt;=G$4)),INDEX(tblRoster[Annual Salary],$A24)/12*(1+Assumptions!$B$3)*IF(MONTH(G$4)&gt;=Assumptions!$B$5,1+Assumptions!$B$4,1),0)</f>
        <v>14974.483333333332</v>
      </c>
      <c r="H24" s="5">
        <f>IF(AND(INDEX(tblRoster[Start Date],$A24)&lt;=EOMONTH(H$4,0),OR(INDEX(tblRoster[End Date],$A24)="",INDEX(tblRoster[End Date],$A24)&gt;=H$4)),INDEX(tblRoster[Annual Salary],$A24)/12*(1+Assumptions!$B$3)*IF(MONTH(H$4)&gt;=Assumptions!$B$5,1+Assumptions!$B$4,1),0)</f>
        <v>14974.483333333332</v>
      </c>
      <c r="I24" s="5">
        <f>IF(AND(INDEX(tblRoster[Start Date],$A24)&lt;=EOMONTH(I$4,0),OR(INDEX(tblRoster[End Date],$A24)="",INDEX(tblRoster[End Date],$A24)&gt;=I$4)),INDEX(tblRoster[Annual Salary],$A24)/12*(1+Assumptions!$B$3)*IF(MONTH(I$4)&gt;=Assumptions!$B$5,1+Assumptions!$B$4,1),0)</f>
        <v>14974.483333333332</v>
      </c>
      <c r="J24" s="5">
        <f>IF(AND(INDEX(tblRoster[Start Date],$A24)&lt;=EOMONTH(J$4,0),OR(INDEX(tblRoster[End Date],$A24)="",INDEX(tblRoster[End Date],$A24)&gt;=J$4)),INDEX(tblRoster[Annual Salary],$A24)/12*(1+Assumptions!$B$3)*IF(MONTH(J$4)&gt;=Assumptions!$B$5,1+Assumptions!$B$4,1),0)</f>
        <v>14974.483333333332</v>
      </c>
      <c r="K24" s="5">
        <f>IF(AND(INDEX(tblRoster[Start Date],$A24)&lt;=EOMONTH(K$4,0),OR(INDEX(tblRoster[End Date],$A24)="",INDEX(tblRoster[End Date],$A24)&gt;=K$4)),INDEX(tblRoster[Annual Salary],$A24)/12*(1+Assumptions!$B$3)*IF(MONTH(K$4)&gt;=Assumptions!$B$5,1+Assumptions!$B$4,1),0)</f>
        <v>14974.483333333332</v>
      </c>
      <c r="L24" s="5">
        <f>IF(AND(INDEX(tblRoster[Start Date],$A24)&lt;=EOMONTH(L$4,0),OR(INDEX(tblRoster[End Date],$A24)="",INDEX(tblRoster[End Date],$A24)&gt;=L$4)),INDEX(tblRoster[Annual Salary],$A24)/12*(1+Assumptions!$B$3)*IF(MONTH(L$4)&gt;=Assumptions!$B$5,1+Assumptions!$B$4,1),0)</f>
        <v>14974.483333333332</v>
      </c>
      <c r="M24" s="5">
        <f>IF(AND(INDEX(tblRoster[Start Date],$A24)&lt;=EOMONTH(M$4,0),OR(INDEX(tblRoster[End Date],$A24)="",INDEX(tblRoster[End Date],$A24)&gt;=M$4)),INDEX(tblRoster[Annual Salary],$A24)/12*(1+Assumptions!$B$3)*IF(MONTH(M$4)&gt;=Assumptions!$B$5,1+Assumptions!$B$4,1),0)</f>
        <v>14974.483333333332</v>
      </c>
      <c r="N24" s="5">
        <f>IF(AND(INDEX(tblRoster[Start Date],$A24)&lt;=EOMONTH(N$4,0),OR(INDEX(tblRoster[End Date],$A24)="",INDEX(tblRoster[End Date],$A24)&gt;=N$4)),INDEX(tblRoster[Annual Salary],$A24)/12*(1+Assumptions!$B$3)*IF(MONTH(N$4)&gt;=Assumptions!$B$5,1+Assumptions!$B$4,1),0)</f>
        <v>14974.483333333332</v>
      </c>
      <c r="O24" s="5">
        <f>IF(AND(INDEX(tblRoster[Start Date],$A24)&lt;=EOMONTH(O$4,0),OR(INDEX(tblRoster[End Date],$A24)="",INDEX(tblRoster[End Date],$A24)&gt;=O$4)),INDEX(tblRoster[Annual Salary],$A24)/12*(1+Assumptions!$B$3)*IF(MONTH(O$4)&gt;=Assumptions!$B$5,1+Assumptions!$B$4,1),0)</f>
        <v>14974.483333333332</v>
      </c>
      <c r="P24" s="5">
        <f>SUM(D24:O24)</f>
        <v>178385.35</v>
      </c>
    </row>
    <row r="25">
      <c r="A25" t="n">
        <v>21</v>
      </c>
      <c r="B25" t="str">
        <f>INDEX(tblRoster[Emp ID],$A25)</f>
        <v>E122</v>
      </c>
      <c r="C25" t="str">
        <f>INDEX(tblRoster[Department],$A25)</f>
        <v>Support</v>
      </c>
      <c r="D25" s="5">
        <f>IF(AND(INDEX(tblRoster[Start Date],$A25)&lt;=EOMONTH(D$4,0),OR(INDEX(tblRoster[End Date],$A25)="",INDEX(tblRoster[End Date],$A25)&gt;=D$4)),INDEX(tblRoster[Annual Salary],$A25)/12*(1+Assumptions!$B$3)*IF(MONTH(D$4)&gt;=Assumptions!$B$5,1+Assumptions!$B$4,1),0)</f>
        <v>17995</v>
      </c>
      <c r="E25" s="5">
        <f>IF(AND(INDEX(tblRoster[Start Date],$A25)&lt;=EOMONTH(E$4,0),OR(INDEX(tblRoster[End Date],$A25)="",INDEX(tblRoster[End Date],$A25)&gt;=E$4)),INDEX(tblRoster[Annual Salary],$A25)/12*(1+Assumptions!$B$3)*IF(MONTH(E$4)&gt;=Assumptions!$B$5,1+Assumptions!$B$4,1),0)</f>
        <v>17995</v>
      </c>
      <c r="F25" s="5">
        <f>IF(AND(INDEX(tblRoster[Start Date],$A25)&lt;=EOMONTH(F$4,0),OR(INDEX(tblRoster[End Date],$A25)="",INDEX(tblRoster[End Date],$A25)&gt;=F$4)),INDEX(tblRoster[Annual Salary],$A25)/12*(1+Assumptions!$B$3)*IF(MONTH(F$4)&gt;=Assumptions!$B$5,1+Assumptions!$B$4,1),0)</f>
        <v>17995</v>
      </c>
      <c r="G25" s="5">
        <f>IF(AND(INDEX(tblRoster[Start Date],$A25)&lt;=EOMONTH(G$4,0),OR(INDEX(tblRoster[End Date],$A25)="",INDEX(tblRoster[End Date],$A25)&gt;=G$4)),INDEX(tblRoster[Annual Salary],$A25)/12*(1+Assumptions!$B$3)*IF(MONTH(G$4)&gt;=Assumptions!$B$5,1+Assumptions!$B$4,1),0)</f>
        <v>18534.850000000002</v>
      </c>
      <c r="H25" s="5">
        <f>IF(AND(INDEX(tblRoster[Start Date],$A25)&lt;=EOMONTH(H$4,0),OR(INDEX(tblRoster[End Date],$A25)="",INDEX(tblRoster[End Date],$A25)&gt;=H$4)),INDEX(tblRoster[Annual Salary],$A25)/12*(1+Assumptions!$B$3)*IF(MONTH(H$4)&gt;=Assumptions!$B$5,1+Assumptions!$B$4,1),0)</f>
        <v>18534.850000000002</v>
      </c>
      <c r="I25" s="5">
        <f>IF(AND(INDEX(tblRoster[Start Date],$A25)&lt;=EOMONTH(I$4,0),OR(INDEX(tblRoster[End Date],$A25)="",INDEX(tblRoster[End Date],$A25)&gt;=I$4)),INDEX(tblRoster[Annual Salary],$A25)/12*(1+Assumptions!$B$3)*IF(MONTH(I$4)&gt;=Assumptions!$B$5,1+Assumptions!$B$4,1),0)</f>
        <v>18534.850000000002</v>
      </c>
      <c r="J25" s="5">
        <f>IF(AND(INDEX(tblRoster[Start Date],$A25)&lt;=EOMONTH(J$4,0),OR(INDEX(tblRoster[End Date],$A25)="",INDEX(tblRoster[End Date],$A25)&gt;=J$4)),INDEX(tblRoster[Annual Salary],$A25)/12*(1+Assumptions!$B$3)*IF(MONTH(J$4)&gt;=Assumptions!$B$5,1+Assumptions!$B$4,1),0)</f>
        <v>18534.850000000002</v>
      </c>
      <c r="K25" s="5">
        <f>IF(AND(INDEX(tblRoster[Start Date],$A25)&lt;=EOMONTH(K$4,0),OR(INDEX(tblRoster[End Date],$A25)="",INDEX(tblRoster[End Date],$A25)&gt;=K$4)),INDEX(tblRoster[Annual Salary],$A25)/12*(1+Assumptions!$B$3)*IF(MONTH(K$4)&gt;=Assumptions!$B$5,1+Assumptions!$B$4,1),0)</f>
        <v>18534.850000000002</v>
      </c>
      <c r="L25" s="5">
        <f>IF(AND(INDEX(tblRoster[Start Date],$A25)&lt;=EOMONTH(L$4,0),OR(INDEX(tblRoster[End Date],$A25)="",INDEX(tblRoster[End Date],$A25)&gt;=L$4)),INDEX(tblRoster[Annual Salary],$A25)/12*(1+Assumptions!$B$3)*IF(MONTH(L$4)&gt;=Assumptions!$B$5,1+Assumptions!$B$4,1),0)</f>
        <v>18534.850000000002</v>
      </c>
      <c r="M25" s="5">
        <f>IF(AND(INDEX(tblRoster[Start Date],$A25)&lt;=EOMONTH(M$4,0),OR(INDEX(tblRoster[End Date],$A25)="",INDEX(tblRoster[End Date],$A25)&gt;=M$4)),INDEX(tblRoster[Annual Salary],$A25)/12*(1+Assumptions!$B$3)*IF(MONTH(M$4)&gt;=Assumptions!$B$5,1+Assumptions!$B$4,1),0)</f>
        <v>0</v>
      </c>
      <c r="N25" s="5">
        <f>IF(AND(INDEX(tblRoster[Start Date],$A25)&lt;=EOMONTH(N$4,0),OR(INDEX(tblRoster[End Date],$A25)="",INDEX(tblRoster[End Date],$A25)&gt;=N$4)),INDEX(tblRoster[Annual Salary],$A25)/12*(1+Assumptions!$B$3)*IF(MONTH(N$4)&gt;=Assumptions!$B$5,1+Assumptions!$B$4,1),0)</f>
        <v>0</v>
      </c>
      <c r="O25" s="5">
        <f>IF(AND(INDEX(tblRoster[Start Date],$A25)&lt;=EOMONTH(O$4,0),OR(INDEX(tblRoster[End Date],$A25)="",INDEX(tblRoster[End Date],$A25)&gt;=O$4)),INDEX(tblRoster[Annual Salary],$A25)/12*(1+Assumptions!$B$3)*IF(MONTH(O$4)&gt;=Assumptions!$B$5,1+Assumptions!$B$4,1),0)</f>
        <v>0</v>
      </c>
      <c r="P25" s="5">
        <f>SUM(D25:O25)</f>
        <v>165194.10000000003</v>
      </c>
    </row>
    <row r="26">
      <c r="A26" t="n">
        <v>22</v>
      </c>
      <c r="B26" t="str">
        <f>INDEX(tblRoster[Emp ID],$A26)</f>
        <v>E123</v>
      </c>
      <c r="C26" t="str">
        <f>INDEX(tblRoster[Department],$A26)</f>
        <v>Sales</v>
      </c>
      <c r="D26" s="5">
        <f>IF(AND(INDEX(tblRoster[Start Date],$A26)&lt;=EOMONTH(D$4,0),OR(INDEX(tblRoster[End Date],$A26)="",INDEX(tblRoster[End Date],$A26)&gt;=D$4)),INDEX(tblRoster[Annual Salary],$A26)/12*(1+Assumptions!$B$3)*IF(MONTH(D$4)&gt;=Assumptions!$B$5,1+Assumptions!$B$4,1),0)</f>
        <v>10980</v>
      </c>
      <c r="E26" s="5">
        <f>IF(AND(INDEX(tblRoster[Start Date],$A26)&lt;=EOMONTH(E$4,0),OR(INDEX(tblRoster[End Date],$A26)="",INDEX(tblRoster[End Date],$A26)&gt;=E$4)),INDEX(tblRoster[Annual Salary],$A26)/12*(1+Assumptions!$B$3)*IF(MONTH(E$4)&gt;=Assumptions!$B$5,1+Assumptions!$B$4,1),0)</f>
        <v>10980</v>
      </c>
      <c r="F26" s="5">
        <f>IF(AND(INDEX(tblRoster[Start Date],$A26)&lt;=EOMONTH(F$4,0),OR(INDEX(tblRoster[End Date],$A26)="",INDEX(tblRoster[End Date],$A26)&gt;=F$4)),INDEX(tblRoster[Annual Salary],$A26)/12*(1+Assumptions!$B$3)*IF(MONTH(F$4)&gt;=Assumptions!$B$5,1+Assumptions!$B$4,1),0)</f>
        <v>10980</v>
      </c>
      <c r="G26" s="5">
        <f>IF(AND(INDEX(tblRoster[Start Date],$A26)&lt;=EOMONTH(G$4,0),OR(INDEX(tblRoster[End Date],$A26)="",INDEX(tblRoster[End Date],$A26)&gt;=G$4)),INDEX(tblRoster[Annual Salary],$A26)/12*(1+Assumptions!$B$3)*IF(MONTH(G$4)&gt;=Assumptions!$B$5,1+Assumptions!$B$4,1),0)</f>
        <v>11309.4</v>
      </c>
      <c r="H26" s="5">
        <f>IF(AND(INDEX(tblRoster[Start Date],$A26)&lt;=EOMONTH(H$4,0),OR(INDEX(tblRoster[End Date],$A26)="",INDEX(tblRoster[End Date],$A26)&gt;=H$4)),INDEX(tblRoster[Annual Salary],$A26)/12*(1+Assumptions!$B$3)*IF(MONTH(H$4)&gt;=Assumptions!$B$5,1+Assumptions!$B$4,1),0)</f>
        <v>11309.4</v>
      </c>
      <c r="I26" s="5">
        <f>IF(AND(INDEX(tblRoster[Start Date],$A26)&lt;=EOMONTH(I$4,0),OR(INDEX(tblRoster[End Date],$A26)="",INDEX(tblRoster[End Date],$A26)&gt;=I$4)),INDEX(tblRoster[Annual Salary],$A26)/12*(1+Assumptions!$B$3)*IF(MONTH(I$4)&gt;=Assumptions!$B$5,1+Assumptions!$B$4,1),0)</f>
        <v>11309.4</v>
      </c>
      <c r="J26" s="5">
        <f>IF(AND(INDEX(tblRoster[Start Date],$A26)&lt;=EOMONTH(J$4,0),OR(INDEX(tblRoster[End Date],$A26)="",INDEX(tblRoster[End Date],$A26)&gt;=J$4)),INDEX(tblRoster[Annual Salary],$A26)/12*(1+Assumptions!$B$3)*IF(MONTH(J$4)&gt;=Assumptions!$B$5,1+Assumptions!$B$4,1),0)</f>
        <v>11309.4</v>
      </c>
      <c r="K26" s="5">
        <f>IF(AND(INDEX(tblRoster[Start Date],$A26)&lt;=EOMONTH(K$4,0),OR(INDEX(tblRoster[End Date],$A26)="",INDEX(tblRoster[End Date],$A26)&gt;=K$4)),INDEX(tblRoster[Annual Salary],$A26)/12*(1+Assumptions!$B$3)*IF(MONTH(K$4)&gt;=Assumptions!$B$5,1+Assumptions!$B$4,1),0)</f>
        <v>11309.4</v>
      </c>
      <c r="L26" s="5">
        <f>IF(AND(INDEX(tblRoster[Start Date],$A26)&lt;=EOMONTH(L$4,0),OR(INDEX(tblRoster[End Date],$A26)="",INDEX(tblRoster[End Date],$A26)&gt;=L$4)),INDEX(tblRoster[Annual Salary],$A26)/12*(1+Assumptions!$B$3)*IF(MONTH(L$4)&gt;=Assumptions!$B$5,1+Assumptions!$B$4,1),0)</f>
        <v>11309.4</v>
      </c>
      <c r="M26" s="5">
        <f>IF(AND(INDEX(tblRoster[Start Date],$A26)&lt;=EOMONTH(M$4,0),OR(INDEX(tblRoster[End Date],$A26)="",INDEX(tblRoster[End Date],$A26)&gt;=M$4)),INDEX(tblRoster[Annual Salary],$A26)/12*(1+Assumptions!$B$3)*IF(MONTH(M$4)&gt;=Assumptions!$B$5,1+Assumptions!$B$4,1),0)</f>
        <v>11309.4</v>
      </c>
      <c r="N26" s="5">
        <f>IF(AND(INDEX(tblRoster[Start Date],$A26)&lt;=EOMONTH(N$4,0),OR(INDEX(tblRoster[End Date],$A26)="",INDEX(tblRoster[End Date],$A26)&gt;=N$4)),INDEX(tblRoster[Annual Salary],$A26)/12*(1+Assumptions!$B$3)*IF(MONTH(N$4)&gt;=Assumptions!$B$5,1+Assumptions!$B$4,1),0)</f>
        <v>11309.4</v>
      </c>
      <c r="O26" s="5">
        <f>IF(AND(INDEX(tblRoster[Start Date],$A26)&lt;=EOMONTH(O$4,0),OR(INDEX(tblRoster[End Date],$A26)="",INDEX(tblRoster[End Date],$A26)&gt;=O$4)),INDEX(tblRoster[Annual Salary],$A26)/12*(1+Assumptions!$B$3)*IF(MONTH(O$4)&gt;=Assumptions!$B$5,1+Assumptions!$B$4,1),0)</f>
        <v>11309.4</v>
      </c>
      <c r="P26" s="5">
        <f>SUM(D26:O26)</f>
        <v>134724.59999999998</v>
      </c>
    </row>
    <row r="27">
      <c r="A27" t="n">
        <v>23</v>
      </c>
      <c r="B27" t="str">
        <f>INDEX(tblRoster[Emp ID],$A27)</f>
        <v>E124</v>
      </c>
      <c r="C27" t="str">
        <f>INDEX(tblRoster[Department],$A27)</f>
        <v>G&amp;A</v>
      </c>
      <c r="D27" s="5">
        <f>IF(AND(INDEX(tblRoster[Start Date],$A27)&lt;=EOMONTH(D$4,0),OR(INDEX(tblRoster[End Date],$A27)="",INDEX(tblRoster[End Date],$A27)&gt;=D$4)),INDEX(tblRoster[Annual Salary],$A27)/12*(1+Assumptions!$B$3)*IF(MONTH(D$4)&gt;=Assumptions!$B$5,1+Assumptions!$B$4,1),0)</f>
        <v>9048.333333333334</v>
      </c>
      <c r="E27" s="5">
        <f>IF(AND(INDEX(tblRoster[Start Date],$A27)&lt;=EOMONTH(E$4,0),OR(INDEX(tblRoster[End Date],$A27)="",INDEX(tblRoster[End Date],$A27)&gt;=E$4)),INDEX(tblRoster[Annual Salary],$A27)/12*(1+Assumptions!$B$3)*IF(MONTH(E$4)&gt;=Assumptions!$B$5,1+Assumptions!$B$4,1),0)</f>
        <v>9048.333333333334</v>
      </c>
      <c r="F27" s="5">
        <f>IF(AND(INDEX(tblRoster[Start Date],$A27)&lt;=EOMONTH(F$4,0),OR(INDEX(tblRoster[End Date],$A27)="",INDEX(tblRoster[End Date],$A27)&gt;=F$4)),INDEX(tblRoster[Annual Salary],$A27)/12*(1+Assumptions!$B$3)*IF(MONTH(F$4)&gt;=Assumptions!$B$5,1+Assumptions!$B$4,1),0)</f>
        <v>9048.333333333334</v>
      </c>
      <c r="G27" s="5">
        <f>IF(AND(INDEX(tblRoster[Start Date],$A27)&lt;=EOMONTH(G$4,0),OR(INDEX(tblRoster[End Date],$A27)="",INDEX(tblRoster[End Date],$A27)&gt;=G$4)),INDEX(tblRoster[Annual Salary],$A27)/12*(1+Assumptions!$B$3)*IF(MONTH(G$4)&gt;=Assumptions!$B$5,1+Assumptions!$B$4,1),0)</f>
        <v>9319.783333333335</v>
      </c>
      <c r="H27" s="5">
        <f>IF(AND(INDEX(tblRoster[Start Date],$A27)&lt;=EOMONTH(H$4,0),OR(INDEX(tblRoster[End Date],$A27)="",INDEX(tblRoster[End Date],$A27)&gt;=H$4)),INDEX(tblRoster[Annual Salary],$A27)/12*(1+Assumptions!$B$3)*IF(MONTH(H$4)&gt;=Assumptions!$B$5,1+Assumptions!$B$4,1),0)</f>
        <v>9319.783333333335</v>
      </c>
      <c r="I27" s="5">
        <f>IF(AND(INDEX(tblRoster[Start Date],$A27)&lt;=EOMONTH(I$4,0),OR(INDEX(tblRoster[End Date],$A27)="",INDEX(tblRoster[End Date],$A27)&gt;=I$4)),INDEX(tblRoster[Annual Salary],$A27)/12*(1+Assumptions!$B$3)*IF(MONTH(I$4)&gt;=Assumptions!$B$5,1+Assumptions!$B$4,1),0)</f>
        <v>9319.783333333335</v>
      </c>
      <c r="J27" s="5">
        <f>IF(AND(INDEX(tblRoster[Start Date],$A27)&lt;=EOMONTH(J$4,0),OR(INDEX(tblRoster[End Date],$A27)="",INDEX(tblRoster[End Date],$A27)&gt;=J$4)),INDEX(tblRoster[Annual Salary],$A27)/12*(1+Assumptions!$B$3)*IF(MONTH(J$4)&gt;=Assumptions!$B$5,1+Assumptions!$B$4,1),0)</f>
        <v>9319.783333333335</v>
      </c>
      <c r="K27" s="5">
        <f>IF(AND(INDEX(tblRoster[Start Date],$A27)&lt;=EOMONTH(K$4,0),OR(INDEX(tblRoster[End Date],$A27)="",INDEX(tblRoster[End Date],$A27)&gt;=K$4)),INDEX(tblRoster[Annual Salary],$A27)/12*(1+Assumptions!$B$3)*IF(MONTH(K$4)&gt;=Assumptions!$B$5,1+Assumptions!$B$4,1),0)</f>
        <v>9319.783333333335</v>
      </c>
      <c r="L27" s="5">
        <f>IF(AND(INDEX(tblRoster[Start Date],$A27)&lt;=EOMONTH(L$4,0),OR(INDEX(tblRoster[End Date],$A27)="",INDEX(tblRoster[End Date],$A27)&gt;=L$4)),INDEX(tblRoster[Annual Salary],$A27)/12*(1+Assumptions!$B$3)*IF(MONTH(L$4)&gt;=Assumptions!$B$5,1+Assumptions!$B$4,1),0)</f>
        <v>9319.783333333335</v>
      </c>
      <c r="M27" s="5">
        <f>IF(AND(INDEX(tblRoster[Start Date],$A27)&lt;=EOMONTH(M$4,0),OR(INDEX(tblRoster[End Date],$A27)="",INDEX(tblRoster[End Date],$A27)&gt;=M$4)),INDEX(tblRoster[Annual Salary],$A27)/12*(1+Assumptions!$B$3)*IF(MONTH(M$4)&gt;=Assumptions!$B$5,1+Assumptions!$B$4,1),0)</f>
        <v>9319.783333333335</v>
      </c>
      <c r="N27" s="5">
        <f>IF(AND(INDEX(tblRoster[Start Date],$A27)&lt;=EOMONTH(N$4,0),OR(INDEX(tblRoster[End Date],$A27)="",INDEX(tblRoster[End Date],$A27)&gt;=N$4)),INDEX(tblRoster[Annual Salary],$A27)/12*(1+Assumptions!$B$3)*IF(MONTH(N$4)&gt;=Assumptions!$B$5,1+Assumptions!$B$4,1),0)</f>
        <v>9319.783333333335</v>
      </c>
      <c r="O27" s="5">
        <f>IF(AND(INDEX(tblRoster[Start Date],$A27)&lt;=EOMONTH(O$4,0),OR(INDEX(tblRoster[End Date],$A27)="",INDEX(tblRoster[End Date],$A27)&gt;=O$4)),INDEX(tblRoster[Annual Salary],$A27)/12*(1+Assumptions!$B$3)*IF(MONTH(O$4)&gt;=Assumptions!$B$5,1+Assumptions!$B$4,1),0)</f>
        <v>9319.783333333335</v>
      </c>
      <c r="P27" s="5">
        <f>SUM(D27:O27)</f>
        <v>111023.05000000003</v>
      </c>
    </row>
    <row r="28">
      <c r="A28" t="n">
        <v>24</v>
      </c>
      <c r="B28" t="str">
        <f>INDEX(tblRoster[Emp ID],$A28)</f>
        <v>E125</v>
      </c>
      <c r="C28" t="str">
        <f>INDEX(tblRoster[Department],$A28)</f>
        <v>Engineering</v>
      </c>
      <c r="D28" s="5">
        <f>IF(AND(INDEX(tblRoster[Start Date],$A28)&lt;=EOMONTH(D$4,0),OR(INDEX(tblRoster[End Date],$A28)="",INDEX(tblRoster[End Date],$A28)&gt;=D$4)),INDEX(tblRoster[Annual Salary],$A28)/12*(1+Assumptions!$B$3)*IF(MONTH(D$4)&gt;=Assumptions!$B$5,1+Assumptions!$B$4,1),0)</f>
        <v>15961.666666666668</v>
      </c>
      <c r="E28" s="5">
        <f>IF(AND(INDEX(tblRoster[Start Date],$A28)&lt;=EOMONTH(E$4,0),OR(INDEX(tblRoster[End Date],$A28)="",INDEX(tblRoster[End Date],$A28)&gt;=E$4)),INDEX(tblRoster[Annual Salary],$A28)/12*(1+Assumptions!$B$3)*IF(MONTH(E$4)&gt;=Assumptions!$B$5,1+Assumptions!$B$4,1),0)</f>
        <v>15961.666666666668</v>
      </c>
      <c r="F28" s="5">
        <f>IF(AND(INDEX(tblRoster[Start Date],$A28)&lt;=EOMONTH(F$4,0),OR(INDEX(tblRoster[End Date],$A28)="",INDEX(tblRoster[End Date],$A28)&gt;=F$4)),INDEX(tblRoster[Annual Salary],$A28)/12*(1+Assumptions!$B$3)*IF(MONTH(F$4)&gt;=Assumptions!$B$5,1+Assumptions!$B$4,1),0)</f>
        <v>15961.666666666668</v>
      </c>
      <c r="G28" s="5">
        <f>IF(AND(INDEX(tblRoster[Start Date],$A28)&lt;=EOMONTH(G$4,0),OR(INDEX(tblRoster[End Date],$A28)="",INDEX(tblRoster[End Date],$A28)&gt;=G$4)),INDEX(tblRoster[Annual Salary],$A28)/12*(1+Assumptions!$B$3)*IF(MONTH(G$4)&gt;=Assumptions!$B$5,1+Assumptions!$B$4,1),0)</f>
        <v>16440.51666666667</v>
      </c>
      <c r="H28" s="5">
        <f>IF(AND(INDEX(tblRoster[Start Date],$A28)&lt;=EOMONTH(H$4,0),OR(INDEX(tblRoster[End Date],$A28)="",INDEX(tblRoster[End Date],$A28)&gt;=H$4)),INDEX(tblRoster[Annual Salary],$A28)/12*(1+Assumptions!$B$3)*IF(MONTH(H$4)&gt;=Assumptions!$B$5,1+Assumptions!$B$4,1),0)</f>
        <v>16440.51666666667</v>
      </c>
      <c r="I28" s="5">
        <f>IF(AND(INDEX(tblRoster[Start Date],$A28)&lt;=EOMONTH(I$4,0),OR(INDEX(tblRoster[End Date],$A28)="",INDEX(tblRoster[End Date],$A28)&gt;=I$4)),INDEX(tblRoster[Annual Salary],$A28)/12*(1+Assumptions!$B$3)*IF(MONTH(I$4)&gt;=Assumptions!$B$5,1+Assumptions!$B$4,1),0)</f>
        <v>16440.51666666667</v>
      </c>
      <c r="J28" s="5">
        <f>IF(AND(INDEX(tblRoster[Start Date],$A28)&lt;=EOMONTH(J$4,0),OR(INDEX(tblRoster[End Date],$A28)="",INDEX(tblRoster[End Date],$A28)&gt;=J$4)),INDEX(tblRoster[Annual Salary],$A28)/12*(1+Assumptions!$B$3)*IF(MONTH(J$4)&gt;=Assumptions!$B$5,1+Assumptions!$B$4,1),0)</f>
        <v>16440.51666666667</v>
      </c>
      <c r="K28" s="5">
        <f>IF(AND(INDEX(tblRoster[Start Date],$A28)&lt;=EOMONTH(K$4,0),OR(INDEX(tblRoster[End Date],$A28)="",INDEX(tblRoster[End Date],$A28)&gt;=K$4)),INDEX(tblRoster[Annual Salary],$A28)/12*(1+Assumptions!$B$3)*IF(MONTH(K$4)&gt;=Assumptions!$B$5,1+Assumptions!$B$4,1),0)</f>
        <v>16440.51666666667</v>
      </c>
      <c r="L28" s="5">
        <f>IF(AND(INDEX(tblRoster[Start Date],$A28)&lt;=EOMONTH(L$4,0),OR(INDEX(tblRoster[End Date],$A28)="",INDEX(tblRoster[End Date],$A28)&gt;=L$4)),INDEX(tblRoster[Annual Salary],$A28)/12*(1+Assumptions!$B$3)*IF(MONTH(L$4)&gt;=Assumptions!$B$5,1+Assumptions!$B$4,1),0)</f>
        <v>16440.51666666667</v>
      </c>
      <c r="M28" s="5">
        <f>IF(AND(INDEX(tblRoster[Start Date],$A28)&lt;=EOMONTH(M$4,0),OR(INDEX(tblRoster[End Date],$A28)="",INDEX(tblRoster[End Date],$A28)&gt;=M$4)),INDEX(tblRoster[Annual Salary],$A28)/12*(1+Assumptions!$B$3)*IF(MONTH(M$4)&gt;=Assumptions!$B$5,1+Assumptions!$B$4,1),0)</f>
        <v>16440.51666666667</v>
      </c>
      <c r="N28" s="5">
        <f>IF(AND(INDEX(tblRoster[Start Date],$A28)&lt;=EOMONTH(N$4,0),OR(INDEX(tblRoster[End Date],$A28)="",INDEX(tblRoster[End Date],$A28)&gt;=N$4)),INDEX(tblRoster[Annual Salary],$A28)/12*(1+Assumptions!$B$3)*IF(MONTH(N$4)&gt;=Assumptions!$B$5,1+Assumptions!$B$4,1),0)</f>
        <v>16440.51666666667</v>
      </c>
      <c r="O28" s="5">
        <f>IF(AND(INDEX(tblRoster[Start Date],$A28)&lt;=EOMONTH(O$4,0),OR(INDEX(tblRoster[End Date],$A28)="",INDEX(tblRoster[End Date],$A28)&gt;=O$4)),INDEX(tblRoster[Annual Salary],$A28)/12*(1+Assumptions!$B$3)*IF(MONTH(O$4)&gt;=Assumptions!$B$5,1+Assumptions!$B$4,1),0)</f>
        <v>16440.51666666667</v>
      </c>
      <c r="P28" s="5">
        <f>SUM(D28:O28)</f>
        <v>195849.65</v>
      </c>
    </row>
    <row r="29">
      <c r="A29" t="n">
        <v>25</v>
      </c>
      <c r="B29" t="str">
        <f>INDEX(tblRoster[Emp ID],$A29)</f>
        <v>E126</v>
      </c>
      <c r="C29" t="str">
        <f>INDEX(tblRoster[Department],$A29)</f>
        <v>Marketing</v>
      </c>
      <c r="D29" s="5">
        <f>IF(AND(INDEX(tblRoster[Start Date],$A29)&lt;=EOMONTH(D$4,0),OR(INDEX(tblRoster[End Date],$A29)="",INDEX(tblRoster[End Date],$A29)&gt;=D$4)),INDEX(tblRoster[Annual Salary],$A29)/12*(1+Assumptions!$B$3)*IF(MONTH(D$4)&gt;=Assumptions!$B$5,1+Assumptions!$B$4,1),0)</f>
        <v>20028.333333333336</v>
      </c>
      <c r="E29" s="5">
        <f>IF(AND(INDEX(tblRoster[Start Date],$A29)&lt;=EOMONTH(E$4,0),OR(INDEX(tblRoster[End Date],$A29)="",INDEX(tblRoster[End Date],$A29)&gt;=E$4)),INDEX(tblRoster[Annual Salary],$A29)/12*(1+Assumptions!$B$3)*IF(MONTH(E$4)&gt;=Assumptions!$B$5,1+Assumptions!$B$4,1),0)</f>
        <v>20028.333333333336</v>
      </c>
      <c r="F29" s="5">
        <f>IF(AND(INDEX(tblRoster[Start Date],$A29)&lt;=EOMONTH(F$4,0),OR(INDEX(tblRoster[End Date],$A29)="",INDEX(tblRoster[End Date],$A29)&gt;=F$4)),INDEX(tblRoster[Annual Salary],$A29)/12*(1+Assumptions!$B$3)*IF(MONTH(F$4)&gt;=Assumptions!$B$5,1+Assumptions!$B$4,1),0)</f>
        <v>20028.333333333336</v>
      </c>
      <c r="G29" s="5">
        <f>IF(AND(INDEX(tblRoster[Start Date],$A29)&lt;=EOMONTH(G$4,0),OR(INDEX(tblRoster[End Date],$A29)="",INDEX(tblRoster[End Date],$A29)&gt;=G$4)),INDEX(tblRoster[Annual Salary],$A29)/12*(1+Assumptions!$B$3)*IF(MONTH(G$4)&gt;=Assumptions!$B$5,1+Assumptions!$B$4,1),0)</f>
        <v>20629.183333333338</v>
      </c>
      <c r="H29" s="5">
        <f>IF(AND(INDEX(tblRoster[Start Date],$A29)&lt;=EOMONTH(H$4,0),OR(INDEX(tblRoster[End Date],$A29)="",INDEX(tblRoster[End Date],$A29)&gt;=H$4)),INDEX(tblRoster[Annual Salary],$A29)/12*(1+Assumptions!$B$3)*IF(MONTH(H$4)&gt;=Assumptions!$B$5,1+Assumptions!$B$4,1),0)</f>
        <v>20629.183333333338</v>
      </c>
      <c r="I29" s="5">
        <f>IF(AND(INDEX(tblRoster[Start Date],$A29)&lt;=EOMONTH(I$4,0),OR(INDEX(tblRoster[End Date],$A29)="",INDEX(tblRoster[End Date],$A29)&gt;=I$4)),INDEX(tblRoster[Annual Salary],$A29)/12*(1+Assumptions!$B$3)*IF(MONTH(I$4)&gt;=Assumptions!$B$5,1+Assumptions!$B$4,1),0)</f>
        <v>20629.183333333338</v>
      </c>
      <c r="J29" s="5">
        <f>IF(AND(INDEX(tblRoster[Start Date],$A29)&lt;=EOMONTH(J$4,0),OR(INDEX(tblRoster[End Date],$A29)="",INDEX(tblRoster[End Date],$A29)&gt;=J$4)),INDEX(tblRoster[Annual Salary],$A29)/12*(1+Assumptions!$B$3)*IF(MONTH(J$4)&gt;=Assumptions!$B$5,1+Assumptions!$B$4,1),0)</f>
        <v>20629.183333333338</v>
      </c>
      <c r="K29" s="5">
        <f>IF(AND(INDEX(tblRoster[Start Date],$A29)&lt;=EOMONTH(K$4,0),OR(INDEX(tblRoster[End Date],$A29)="",INDEX(tblRoster[End Date],$A29)&gt;=K$4)),INDEX(tblRoster[Annual Salary],$A29)/12*(1+Assumptions!$B$3)*IF(MONTH(K$4)&gt;=Assumptions!$B$5,1+Assumptions!$B$4,1),0)</f>
        <v>20629.183333333338</v>
      </c>
      <c r="L29" s="5">
        <f>IF(AND(INDEX(tblRoster[Start Date],$A29)&lt;=EOMONTH(L$4,0),OR(INDEX(tblRoster[End Date],$A29)="",INDEX(tblRoster[End Date],$A29)&gt;=L$4)),INDEX(tblRoster[Annual Salary],$A29)/12*(1+Assumptions!$B$3)*IF(MONTH(L$4)&gt;=Assumptions!$B$5,1+Assumptions!$B$4,1),0)</f>
        <v>20629.183333333338</v>
      </c>
      <c r="M29" s="5">
        <f>IF(AND(INDEX(tblRoster[Start Date],$A29)&lt;=EOMONTH(M$4,0),OR(INDEX(tblRoster[End Date],$A29)="",INDEX(tblRoster[End Date],$A29)&gt;=M$4)),INDEX(tblRoster[Annual Salary],$A29)/12*(1+Assumptions!$B$3)*IF(MONTH(M$4)&gt;=Assumptions!$B$5,1+Assumptions!$B$4,1),0)</f>
        <v>20629.183333333338</v>
      </c>
      <c r="N29" s="5">
        <f>IF(AND(INDEX(tblRoster[Start Date],$A29)&lt;=EOMONTH(N$4,0),OR(INDEX(tblRoster[End Date],$A29)="",INDEX(tblRoster[End Date],$A29)&gt;=N$4)),INDEX(tblRoster[Annual Salary],$A29)/12*(1+Assumptions!$B$3)*IF(MONTH(N$4)&gt;=Assumptions!$B$5,1+Assumptions!$B$4,1),0)</f>
        <v>20629.183333333338</v>
      </c>
      <c r="O29" s="5">
        <f>IF(AND(INDEX(tblRoster[Start Date],$A29)&lt;=EOMONTH(O$4,0),OR(INDEX(tblRoster[End Date],$A29)="",INDEX(tblRoster[End Date],$A29)&gt;=O$4)),INDEX(tblRoster[Annual Salary],$A29)/12*(1+Assumptions!$B$3)*IF(MONTH(O$4)&gt;=Assumptions!$B$5,1+Assumptions!$B$4,1),0)</f>
        <v>20629.183333333338</v>
      </c>
      <c r="P29" s="5">
        <f>SUM(D29:O29)</f>
        <v>245747.6500000001</v>
      </c>
    </row>
    <row r="30">
      <c r="A30" t="n">
        <v>26</v>
      </c>
      <c r="B30" t="str">
        <f>INDEX(tblRoster[Emp ID],$A30)</f>
        <v>E127</v>
      </c>
      <c r="C30" t="str">
        <f>INDEX(tblRoster[Department],$A30)</f>
        <v>Support</v>
      </c>
      <c r="D30" s="5">
        <f>IF(AND(INDEX(tblRoster[Start Date],$A30)&lt;=EOMONTH(D$4,0),OR(INDEX(tblRoster[End Date],$A30)="",INDEX(tblRoster[End Date],$A30)&gt;=D$4)),INDEX(tblRoster[Annual Salary],$A30)/12*(1+Assumptions!$B$3)*IF(MONTH(D$4)&gt;=Assumptions!$B$5,1+Assumptions!$B$4,1),0)</f>
        <v>8845</v>
      </c>
      <c r="E30" s="5">
        <f>IF(AND(INDEX(tblRoster[Start Date],$A30)&lt;=EOMONTH(E$4,0),OR(INDEX(tblRoster[End Date],$A30)="",INDEX(tblRoster[End Date],$A30)&gt;=E$4)),INDEX(tblRoster[Annual Salary],$A30)/12*(1+Assumptions!$B$3)*IF(MONTH(E$4)&gt;=Assumptions!$B$5,1+Assumptions!$B$4,1),0)</f>
        <v>8845</v>
      </c>
      <c r="F30" s="5">
        <f>IF(AND(INDEX(tblRoster[Start Date],$A30)&lt;=EOMONTH(F$4,0),OR(INDEX(tblRoster[End Date],$A30)="",INDEX(tblRoster[End Date],$A30)&gt;=F$4)),INDEX(tblRoster[Annual Salary],$A30)/12*(1+Assumptions!$B$3)*IF(MONTH(F$4)&gt;=Assumptions!$B$5,1+Assumptions!$B$4,1),0)</f>
        <v>8845</v>
      </c>
      <c r="G30" s="5">
        <f>IF(AND(INDEX(tblRoster[Start Date],$A30)&lt;=EOMONTH(G$4,0),OR(INDEX(tblRoster[End Date],$A30)="",INDEX(tblRoster[End Date],$A30)&gt;=G$4)),INDEX(tblRoster[Annual Salary],$A30)/12*(1+Assumptions!$B$3)*IF(MONTH(G$4)&gt;=Assumptions!$B$5,1+Assumptions!$B$4,1),0)</f>
        <v>9110.35</v>
      </c>
      <c r="H30" s="5">
        <f>IF(AND(INDEX(tblRoster[Start Date],$A30)&lt;=EOMONTH(H$4,0),OR(INDEX(tblRoster[End Date],$A30)="",INDEX(tblRoster[End Date],$A30)&gt;=H$4)),INDEX(tblRoster[Annual Salary],$A30)/12*(1+Assumptions!$B$3)*IF(MONTH(H$4)&gt;=Assumptions!$B$5,1+Assumptions!$B$4,1),0)</f>
        <v>9110.35</v>
      </c>
      <c r="I30" s="5">
        <f>IF(AND(INDEX(tblRoster[Start Date],$A30)&lt;=EOMONTH(I$4,0),OR(INDEX(tblRoster[End Date],$A30)="",INDEX(tblRoster[End Date],$A30)&gt;=I$4)),INDEX(tblRoster[Annual Salary],$A30)/12*(1+Assumptions!$B$3)*IF(MONTH(I$4)&gt;=Assumptions!$B$5,1+Assumptions!$B$4,1),0)</f>
        <v>9110.35</v>
      </c>
      <c r="J30" s="5">
        <f>IF(AND(INDEX(tblRoster[Start Date],$A30)&lt;=EOMONTH(J$4,0),OR(INDEX(tblRoster[End Date],$A30)="",INDEX(tblRoster[End Date],$A30)&gt;=J$4)),INDEX(tblRoster[Annual Salary],$A30)/12*(1+Assumptions!$B$3)*IF(MONTH(J$4)&gt;=Assumptions!$B$5,1+Assumptions!$B$4,1),0)</f>
        <v>9110.35</v>
      </c>
      <c r="K30" s="5">
        <f>IF(AND(INDEX(tblRoster[Start Date],$A30)&lt;=EOMONTH(K$4,0),OR(INDEX(tblRoster[End Date],$A30)="",INDEX(tblRoster[End Date],$A30)&gt;=K$4)),INDEX(tblRoster[Annual Salary],$A30)/12*(1+Assumptions!$B$3)*IF(MONTH(K$4)&gt;=Assumptions!$B$5,1+Assumptions!$B$4,1),0)</f>
        <v>9110.35</v>
      </c>
      <c r="L30" s="5">
        <f>IF(AND(INDEX(tblRoster[Start Date],$A30)&lt;=EOMONTH(L$4,0),OR(INDEX(tblRoster[End Date],$A30)="",INDEX(tblRoster[End Date],$A30)&gt;=L$4)),INDEX(tblRoster[Annual Salary],$A30)/12*(1+Assumptions!$B$3)*IF(MONTH(L$4)&gt;=Assumptions!$B$5,1+Assumptions!$B$4,1),0)</f>
        <v>9110.35</v>
      </c>
      <c r="M30" s="5">
        <f>IF(AND(INDEX(tblRoster[Start Date],$A30)&lt;=EOMONTH(M$4,0),OR(INDEX(tblRoster[End Date],$A30)="",INDEX(tblRoster[End Date],$A30)&gt;=M$4)),INDEX(tblRoster[Annual Salary],$A30)/12*(1+Assumptions!$B$3)*IF(MONTH(M$4)&gt;=Assumptions!$B$5,1+Assumptions!$B$4,1),0)</f>
        <v>9110.35</v>
      </c>
      <c r="N30" s="5">
        <f>IF(AND(INDEX(tblRoster[Start Date],$A30)&lt;=EOMONTH(N$4,0),OR(INDEX(tblRoster[End Date],$A30)="",INDEX(tblRoster[End Date],$A30)&gt;=N$4)),INDEX(tblRoster[Annual Salary],$A30)/12*(1+Assumptions!$B$3)*IF(MONTH(N$4)&gt;=Assumptions!$B$5,1+Assumptions!$B$4,1),0)</f>
        <v>9110.35</v>
      </c>
      <c r="O30" s="5">
        <f>IF(AND(INDEX(tblRoster[Start Date],$A30)&lt;=EOMONTH(O$4,0),OR(INDEX(tblRoster[End Date],$A30)="",INDEX(tblRoster[End Date],$A30)&gt;=O$4)),INDEX(tblRoster[Annual Salary],$A30)/12*(1+Assumptions!$B$3)*IF(MONTH(O$4)&gt;=Assumptions!$B$5,1+Assumptions!$B$4,1),0)</f>
        <v>9110.35</v>
      </c>
      <c r="P30" s="5">
        <f>SUM(D30:O30)</f>
        <v>108528.15000000002</v>
      </c>
    </row>
    <row r="31">
      <c r="A31" t="n">
        <v>27</v>
      </c>
      <c r="B31" t="str">
        <f>INDEX(tblRoster[Emp ID],$A31)</f>
        <v>E128</v>
      </c>
      <c r="C31" t="str">
        <f>INDEX(tblRoster[Department],$A31)</f>
        <v>Sales</v>
      </c>
      <c r="D31" s="5">
        <f>IF(AND(INDEX(tblRoster[Start Date],$A31)&lt;=EOMONTH(D$4,0),OR(INDEX(tblRoster[End Date],$A31)="",INDEX(tblRoster[End Date],$A31)&gt;=D$4)),INDEX(tblRoster[Annual Salary],$A31)/12*(1+Assumptions!$B$3)*IF(MONTH(D$4)&gt;=Assumptions!$B$5,1+Assumptions!$B$4,1),0)</f>
        <v>8743.333333333334</v>
      </c>
      <c r="E31" s="5">
        <f>IF(AND(INDEX(tblRoster[Start Date],$A31)&lt;=EOMONTH(E$4,0),OR(INDEX(tblRoster[End Date],$A31)="",INDEX(tblRoster[End Date],$A31)&gt;=E$4)),INDEX(tblRoster[Annual Salary],$A31)/12*(1+Assumptions!$B$3)*IF(MONTH(E$4)&gt;=Assumptions!$B$5,1+Assumptions!$B$4,1),0)</f>
        <v>8743.333333333334</v>
      </c>
      <c r="F31" s="5">
        <f>IF(AND(INDEX(tblRoster[Start Date],$A31)&lt;=EOMONTH(F$4,0),OR(INDEX(tblRoster[End Date],$A31)="",INDEX(tblRoster[End Date],$A31)&gt;=F$4)),INDEX(tblRoster[Annual Salary],$A31)/12*(1+Assumptions!$B$3)*IF(MONTH(F$4)&gt;=Assumptions!$B$5,1+Assumptions!$B$4,1),0)</f>
        <v>8743.333333333334</v>
      </c>
      <c r="G31" s="5">
        <f>IF(AND(INDEX(tblRoster[Start Date],$A31)&lt;=EOMONTH(G$4,0),OR(INDEX(tblRoster[End Date],$A31)="",INDEX(tblRoster[End Date],$A31)&gt;=G$4)),INDEX(tblRoster[Annual Salary],$A31)/12*(1+Assumptions!$B$3)*IF(MONTH(G$4)&gt;=Assumptions!$B$5,1+Assumptions!$B$4,1),0)</f>
        <v>9005.633333333335</v>
      </c>
      <c r="H31" s="5">
        <f>IF(AND(INDEX(tblRoster[Start Date],$A31)&lt;=EOMONTH(H$4,0),OR(INDEX(tblRoster[End Date],$A31)="",INDEX(tblRoster[End Date],$A31)&gt;=H$4)),INDEX(tblRoster[Annual Salary],$A31)/12*(1+Assumptions!$B$3)*IF(MONTH(H$4)&gt;=Assumptions!$B$5,1+Assumptions!$B$4,1),0)</f>
        <v>9005.633333333335</v>
      </c>
      <c r="I31" s="5">
        <f>IF(AND(INDEX(tblRoster[Start Date],$A31)&lt;=EOMONTH(I$4,0),OR(INDEX(tblRoster[End Date],$A31)="",INDEX(tblRoster[End Date],$A31)&gt;=I$4)),INDEX(tblRoster[Annual Salary],$A31)/12*(1+Assumptions!$B$3)*IF(MONTH(I$4)&gt;=Assumptions!$B$5,1+Assumptions!$B$4,1),0)</f>
        <v>9005.633333333335</v>
      </c>
      <c r="J31" s="5">
        <f>IF(AND(INDEX(tblRoster[Start Date],$A31)&lt;=EOMONTH(J$4,0),OR(INDEX(tblRoster[End Date],$A31)="",INDEX(tblRoster[End Date],$A31)&gt;=J$4)),INDEX(tblRoster[Annual Salary],$A31)/12*(1+Assumptions!$B$3)*IF(MONTH(J$4)&gt;=Assumptions!$B$5,1+Assumptions!$B$4,1),0)</f>
        <v>9005.633333333335</v>
      </c>
      <c r="K31" s="5">
        <f>IF(AND(INDEX(tblRoster[Start Date],$A31)&lt;=EOMONTH(K$4,0),OR(INDEX(tblRoster[End Date],$A31)="",INDEX(tblRoster[End Date],$A31)&gt;=K$4)),INDEX(tblRoster[Annual Salary],$A31)/12*(1+Assumptions!$B$3)*IF(MONTH(K$4)&gt;=Assumptions!$B$5,1+Assumptions!$B$4,1),0)</f>
        <v>9005.633333333335</v>
      </c>
      <c r="L31" s="5">
        <f>IF(AND(INDEX(tblRoster[Start Date],$A31)&lt;=EOMONTH(L$4,0),OR(INDEX(tblRoster[End Date],$A31)="",INDEX(tblRoster[End Date],$A31)&gt;=L$4)),INDEX(tblRoster[Annual Salary],$A31)/12*(1+Assumptions!$B$3)*IF(MONTH(L$4)&gt;=Assumptions!$B$5,1+Assumptions!$B$4,1),0)</f>
        <v>9005.633333333335</v>
      </c>
      <c r="M31" s="5">
        <f>IF(AND(INDEX(tblRoster[Start Date],$A31)&lt;=EOMONTH(M$4,0),OR(INDEX(tblRoster[End Date],$A31)="",INDEX(tblRoster[End Date],$A31)&gt;=M$4)),INDEX(tblRoster[Annual Salary],$A31)/12*(1+Assumptions!$B$3)*IF(MONTH(M$4)&gt;=Assumptions!$B$5,1+Assumptions!$B$4,1),0)</f>
        <v>9005.633333333335</v>
      </c>
      <c r="N31" s="5">
        <f>IF(AND(INDEX(tblRoster[Start Date],$A31)&lt;=EOMONTH(N$4,0),OR(INDEX(tblRoster[End Date],$A31)="",INDEX(tblRoster[End Date],$A31)&gt;=N$4)),INDEX(tblRoster[Annual Salary],$A31)/12*(1+Assumptions!$B$3)*IF(MONTH(N$4)&gt;=Assumptions!$B$5,1+Assumptions!$B$4,1),0)</f>
        <v>9005.633333333335</v>
      </c>
      <c r="O31" s="5">
        <f>IF(AND(INDEX(tblRoster[Start Date],$A31)&lt;=EOMONTH(O$4,0),OR(INDEX(tblRoster[End Date],$A31)="",INDEX(tblRoster[End Date],$A31)&gt;=O$4)),INDEX(tblRoster[Annual Salary],$A31)/12*(1+Assumptions!$B$3)*IF(MONTH(O$4)&gt;=Assumptions!$B$5,1+Assumptions!$B$4,1),0)</f>
        <v>9005.633333333335</v>
      </c>
      <c r="P31" s="5">
        <f>SUM(D31:O31)</f>
        <v>107280.69999999998</v>
      </c>
    </row>
    <row r="32">
      <c r="A32" t="n">
        <v>28</v>
      </c>
      <c r="B32" t="str">
        <f>INDEX(tblRoster[Emp ID],$A32)</f>
        <v>E129</v>
      </c>
      <c r="C32" t="str">
        <f>INDEX(tblRoster[Department],$A32)</f>
        <v>G&amp;A</v>
      </c>
      <c r="D32" s="5">
        <f>IF(AND(INDEX(tblRoster[Start Date],$A32)&lt;=EOMONTH(D$4,0),OR(INDEX(tblRoster[End Date],$A32)="",INDEX(tblRoster[End Date],$A32)&gt;=D$4)),INDEX(tblRoster[Annual Salary],$A32)/12*(1+Assumptions!$B$3)*IF(MONTH(D$4)&gt;=Assumptions!$B$5,1+Assumptions!$B$4,1),0)</f>
        <v>15148.333333333332</v>
      </c>
      <c r="E32" s="5">
        <f>IF(AND(INDEX(tblRoster[Start Date],$A32)&lt;=EOMONTH(E$4,0),OR(INDEX(tblRoster[End Date],$A32)="",INDEX(tblRoster[End Date],$A32)&gt;=E$4)),INDEX(tblRoster[Annual Salary],$A32)/12*(1+Assumptions!$B$3)*IF(MONTH(E$4)&gt;=Assumptions!$B$5,1+Assumptions!$B$4,1),0)</f>
        <v>15148.333333333332</v>
      </c>
      <c r="F32" s="5">
        <f>IF(AND(INDEX(tblRoster[Start Date],$A32)&lt;=EOMONTH(F$4,0),OR(INDEX(tblRoster[End Date],$A32)="",INDEX(tblRoster[End Date],$A32)&gt;=F$4)),INDEX(tblRoster[Annual Salary],$A32)/12*(1+Assumptions!$B$3)*IF(MONTH(F$4)&gt;=Assumptions!$B$5,1+Assumptions!$B$4,1),0)</f>
        <v>15148.333333333332</v>
      </c>
      <c r="G32" s="5">
        <f>IF(AND(INDEX(tblRoster[Start Date],$A32)&lt;=EOMONTH(G$4,0),OR(INDEX(tblRoster[End Date],$A32)="",INDEX(tblRoster[End Date],$A32)&gt;=G$4)),INDEX(tblRoster[Annual Salary],$A32)/12*(1+Assumptions!$B$3)*IF(MONTH(G$4)&gt;=Assumptions!$B$5,1+Assumptions!$B$4,1),0)</f>
        <v>15602.783333333333</v>
      </c>
      <c r="H32" s="5">
        <f>IF(AND(INDEX(tblRoster[Start Date],$A32)&lt;=EOMONTH(H$4,0),OR(INDEX(tblRoster[End Date],$A32)="",INDEX(tblRoster[End Date],$A32)&gt;=H$4)),INDEX(tblRoster[Annual Salary],$A32)/12*(1+Assumptions!$B$3)*IF(MONTH(H$4)&gt;=Assumptions!$B$5,1+Assumptions!$B$4,1),0)</f>
        <v>15602.783333333333</v>
      </c>
      <c r="I32" s="5">
        <f>IF(AND(INDEX(tblRoster[Start Date],$A32)&lt;=EOMONTH(I$4,0),OR(INDEX(tblRoster[End Date],$A32)="",INDEX(tblRoster[End Date],$A32)&gt;=I$4)),INDEX(tblRoster[Annual Salary],$A32)/12*(1+Assumptions!$B$3)*IF(MONTH(I$4)&gt;=Assumptions!$B$5,1+Assumptions!$B$4,1),0)</f>
        <v>15602.783333333333</v>
      </c>
      <c r="J32" s="5">
        <f>IF(AND(INDEX(tblRoster[Start Date],$A32)&lt;=EOMONTH(J$4,0),OR(INDEX(tblRoster[End Date],$A32)="",INDEX(tblRoster[End Date],$A32)&gt;=J$4)),INDEX(tblRoster[Annual Salary],$A32)/12*(1+Assumptions!$B$3)*IF(MONTH(J$4)&gt;=Assumptions!$B$5,1+Assumptions!$B$4,1),0)</f>
        <v>15602.783333333333</v>
      </c>
      <c r="K32" s="5">
        <f>IF(AND(INDEX(tblRoster[Start Date],$A32)&lt;=EOMONTH(K$4,0),OR(INDEX(tblRoster[End Date],$A32)="",INDEX(tblRoster[End Date],$A32)&gt;=K$4)),INDEX(tblRoster[Annual Salary],$A32)/12*(1+Assumptions!$B$3)*IF(MONTH(K$4)&gt;=Assumptions!$B$5,1+Assumptions!$B$4,1),0)</f>
        <v>15602.783333333333</v>
      </c>
      <c r="L32" s="5">
        <f>IF(AND(INDEX(tblRoster[Start Date],$A32)&lt;=EOMONTH(L$4,0),OR(INDEX(tblRoster[End Date],$A32)="",INDEX(tblRoster[End Date],$A32)&gt;=L$4)),INDEX(tblRoster[Annual Salary],$A32)/12*(1+Assumptions!$B$3)*IF(MONTH(L$4)&gt;=Assumptions!$B$5,1+Assumptions!$B$4,1),0)</f>
        <v>15602.783333333333</v>
      </c>
      <c r="M32" s="5">
        <f>IF(AND(INDEX(tblRoster[Start Date],$A32)&lt;=EOMONTH(M$4,0),OR(INDEX(tblRoster[End Date],$A32)="",INDEX(tblRoster[End Date],$A32)&gt;=M$4)),INDEX(tblRoster[Annual Salary],$A32)/12*(1+Assumptions!$B$3)*IF(MONTH(M$4)&gt;=Assumptions!$B$5,1+Assumptions!$B$4,1),0)</f>
        <v>15602.783333333333</v>
      </c>
      <c r="N32" s="5">
        <f>IF(AND(INDEX(tblRoster[Start Date],$A32)&lt;=EOMONTH(N$4,0),OR(INDEX(tblRoster[End Date],$A32)="",INDEX(tblRoster[End Date],$A32)&gt;=N$4)),INDEX(tblRoster[Annual Salary],$A32)/12*(1+Assumptions!$B$3)*IF(MONTH(N$4)&gt;=Assumptions!$B$5,1+Assumptions!$B$4,1),0)</f>
        <v>15602.783333333333</v>
      </c>
      <c r="O32" s="5">
        <f>IF(AND(INDEX(tblRoster[Start Date],$A32)&lt;=EOMONTH(O$4,0),OR(INDEX(tblRoster[End Date],$A32)="",INDEX(tblRoster[End Date],$A32)&gt;=O$4)),INDEX(tblRoster[Annual Salary],$A32)/12*(1+Assumptions!$B$3)*IF(MONTH(O$4)&gt;=Assumptions!$B$5,1+Assumptions!$B$4,1),0)</f>
        <v>15602.783333333333</v>
      </c>
      <c r="P32" s="5">
        <f>SUM(D32:O32)</f>
        <v>185870.04999999996</v>
      </c>
    </row>
    <row r="33">
      <c r="A33" t="n">
        <v>29</v>
      </c>
      <c r="B33" t="str">
        <f>INDEX(tblRoster[Emp ID],$A33)</f>
        <v>E130</v>
      </c>
      <c r="C33" t="str">
        <f>INDEX(tblRoster[Department],$A33)</f>
        <v>Engineering</v>
      </c>
      <c r="D33" s="5">
        <f>IF(AND(INDEX(tblRoster[Start Date],$A33)&lt;=EOMONTH(D$4,0),OR(INDEX(tblRoster[End Date],$A33)="",INDEX(tblRoster[End Date],$A33)&gt;=D$4)),INDEX(tblRoster[Annual Salary],$A33)/12*(1+Assumptions!$B$3)*IF(MONTH(D$4)&gt;=Assumptions!$B$5,1+Assumptions!$B$4,1),0)</f>
        <v>18706.666666666668</v>
      </c>
      <c r="E33" s="5">
        <f>IF(AND(INDEX(tblRoster[Start Date],$A33)&lt;=EOMONTH(E$4,0),OR(INDEX(tblRoster[End Date],$A33)="",INDEX(tblRoster[End Date],$A33)&gt;=E$4)),INDEX(tblRoster[Annual Salary],$A33)/12*(1+Assumptions!$B$3)*IF(MONTH(E$4)&gt;=Assumptions!$B$5,1+Assumptions!$B$4,1),0)</f>
        <v>18706.666666666668</v>
      </c>
      <c r="F33" s="5">
        <f>IF(AND(INDEX(tblRoster[Start Date],$A33)&lt;=EOMONTH(F$4,0),OR(INDEX(tblRoster[End Date],$A33)="",INDEX(tblRoster[End Date],$A33)&gt;=F$4)),INDEX(tblRoster[Annual Salary],$A33)/12*(1+Assumptions!$B$3)*IF(MONTH(F$4)&gt;=Assumptions!$B$5,1+Assumptions!$B$4,1),0)</f>
        <v>18706.666666666668</v>
      </c>
      <c r="G33" s="5">
        <f>IF(AND(INDEX(tblRoster[Start Date],$A33)&lt;=EOMONTH(G$4,0),OR(INDEX(tblRoster[End Date],$A33)="",INDEX(tblRoster[End Date],$A33)&gt;=G$4)),INDEX(tblRoster[Annual Salary],$A33)/12*(1+Assumptions!$B$3)*IF(MONTH(G$4)&gt;=Assumptions!$B$5,1+Assumptions!$B$4,1),0)</f>
        <v>19267.86666666667</v>
      </c>
      <c r="H33" s="5">
        <f>IF(AND(INDEX(tblRoster[Start Date],$A33)&lt;=EOMONTH(H$4,0),OR(INDEX(tblRoster[End Date],$A33)="",INDEX(tblRoster[End Date],$A33)&gt;=H$4)),INDEX(tblRoster[Annual Salary],$A33)/12*(1+Assumptions!$B$3)*IF(MONTH(H$4)&gt;=Assumptions!$B$5,1+Assumptions!$B$4,1),0)</f>
        <v>19267.86666666667</v>
      </c>
      <c r="I33" s="5">
        <f>IF(AND(INDEX(tblRoster[Start Date],$A33)&lt;=EOMONTH(I$4,0),OR(INDEX(tblRoster[End Date],$A33)="",INDEX(tblRoster[End Date],$A33)&gt;=I$4)),INDEX(tblRoster[Annual Salary],$A33)/12*(1+Assumptions!$B$3)*IF(MONTH(I$4)&gt;=Assumptions!$B$5,1+Assumptions!$B$4,1),0)</f>
        <v>19267.86666666667</v>
      </c>
      <c r="J33" s="5">
        <f>IF(AND(INDEX(tblRoster[Start Date],$A33)&lt;=EOMONTH(J$4,0),OR(INDEX(tblRoster[End Date],$A33)="",INDEX(tblRoster[End Date],$A33)&gt;=J$4)),INDEX(tblRoster[Annual Salary],$A33)/12*(1+Assumptions!$B$3)*IF(MONTH(J$4)&gt;=Assumptions!$B$5,1+Assumptions!$B$4,1),0)</f>
        <v>19267.86666666667</v>
      </c>
      <c r="K33" s="5">
        <f>IF(AND(INDEX(tblRoster[Start Date],$A33)&lt;=EOMONTH(K$4,0),OR(INDEX(tblRoster[End Date],$A33)="",INDEX(tblRoster[End Date],$A33)&gt;=K$4)),INDEX(tblRoster[Annual Salary],$A33)/12*(1+Assumptions!$B$3)*IF(MONTH(K$4)&gt;=Assumptions!$B$5,1+Assumptions!$B$4,1),0)</f>
        <v>19267.86666666667</v>
      </c>
      <c r="L33" s="5">
        <f>IF(AND(INDEX(tblRoster[Start Date],$A33)&lt;=EOMONTH(L$4,0),OR(INDEX(tblRoster[End Date],$A33)="",INDEX(tblRoster[End Date],$A33)&gt;=L$4)),INDEX(tblRoster[Annual Salary],$A33)/12*(1+Assumptions!$B$3)*IF(MONTH(L$4)&gt;=Assumptions!$B$5,1+Assumptions!$B$4,1),0)</f>
        <v>19267.86666666667</v>
      </c>
      <c r="M33" s="5">
        <f>IF(AND(INDEX(tblRoster[Start Date],$A33)&lt;=EOMONTH(M$4,0),OR(INDEX(tblRoster[End Date],$A33)="",INDEX(tblRoster[End Date],$A33)&gt;=M$4)),INDEX(tblRoster[Annual Salary],$A33)/12*(1+Assumptions!$B$3)*IF(MONTH(M$4)&gt;=Assumptions!$B$5,1+Assumptions!$B$4,1),0)</f>
        <v>19267.86666666667</v>
      </c>
      <c r="N33" s="5">
        <f>IF(AND(INDEX(tblRoster[Start Date],$A33)&lt;=EOMONTH(N$4,0),OR(INDEX(tblRoster[End Date],$A33)="",INDEX(tblRoster[End Date],$A33)&gt;=N$4)),INDEX(tblRoster[Annual Salary],$A33)/12*(1+Assumptions!$B$3)*IF(MONTH(N$4)&gt;=Assumptions!$B$5,1+Assumptions!$B$4,1),0)</f>
        <v>19267.86666666667</v>
      </c>
      <c r="O33" s="5">
        <f>IF(AND(INDEX(tblRoster[Start Date],$A33)&lt;=EOMONTH(O$4,0),OR(INDEX(tblRoster[End Date],$A33)="",INDEX(tblRoster[End Date],$A33)&gt;=O$4)),INDEX(tblRoster[Annual Salary],$A33)/12*(1+Assumptions!$B$3)*IF(MONTH(O$4)&gt;=Assumptions!$B$5,1+Assumptions!$B$4,1),0)</f>
        <v>19267.86666666667</v>
      </c>
      <c r="P33" s="5">
        <f>SUM(D33:O33)</f>
        <v>229530.80000000002</v>
      </c>
    </row>
    <row r="34">
      <c r="A34" t="n">
        <v>30</v>
      </c>
      <c r="B34" t="str">
        <f>INDEX(tblRoster[Emp ID],$A34)</f>
        <v>E131</v>
      </c>
      <c r="C34" t="str">
        <f>INDEX(tblRoster[Department],$A34)</f>
        <v>Marketing</v>
      </c>
      <c r="D34" s="5">
        <f>IF(AND(INDEX(tblRoster[Start Date],$A34)&lt;=EOMONTH(D$4,0),OR(INDEX(tblRoster[End Date],$A34)="",INDEX(tblRoster[End Date],$A34)&gt;=D$4)),INDEX(tblRoster[Annual Salary],$A34)/12*(1+Assumptions!$B$3)*IF(MONTH(D$4)&gt;=Assumptions!$B$5,1+Assumptions!$B$4,1),0)</f>
        <v>16063.333333333332</v>
      </c>
      <c r="E34" s="5">
        <f>IF(AND(INDEX(tblRoster[Start Date],$A34)&lt;=EOMONTH(E$4,0),OR(INDEX(tblRoster[End Date],$A34)="",INDEX(tblRoster[End Date],$A34)&gt;=E$4)),INDEX(tblRoster[Annual Salary],$A34)/12*(1+Assumptions!$B$3)*IF(MONTH(E$4)&gt;=Assumptions!$B$5,1+Assumptions!$B$4,1),0)</f>
        <v>16063.333333333332</v>
      </c>
      <c r="F34" s="5">
        <f>IF(AND(INDEX(tblRoster[Start Date],$A34)&lt;=EOMONTH(F$4,0),OR(INDEX(tblRoster[End Date],$A34)="",INDEX(tblRoster[End Date],$A34)&gt;=F$4)),INDEX(tblRoster[Annual Salary],$A34)/12*(1+Assumptions!$B$3)*IF(MONTH(F$4)&gt;=Assumptions!$B$5,1+Assumptions!$B$4,1),0)</f>
        <v>16063.333333333332</v>
      </c>
      <c r="G34" s="5">
        <f>IF(AND(INDEX(tblRoster[Start Date],$A34)&lt;=EOMONTH(G$4,0),OR(INDEX(tblRoster[End Date],$A34)="",INDEX(tblRoster[End Date],$A34)&gt;=G$4)),INDEX(tblRoster[Annual Salary],$A34)/12*(1+Assumptions!$B$3)*IF(MONTH(G$4)&gt;=Assumptions!$B$5,1+Assumptions!$B$4,1),0)</f>
        <v>16545.233333333334</v>
      </c>
      <c r="H34" s="5">
        <f>IF(AND(INDEX(tblRoster[Start Date],$A34)&lt;=EOMONTH(H$4,0),OR(INDEX(tblRoster[End Date],$A34)="",INDEX(tblRoster[End Date],$A34)&gt;=H$4)),INDEX(tblRoster[Annual Salary],$A34)/12*(1+Assumptions!$B$3)*IF(MONTH(H$4)&gt;=Assumptions!$B$5,1+Assumptions!$B$4,1),0)</f>
        <v>16545.233333333334</v>
      </c>
      <c r="I34" s="5">
        <f>IF(AND(INDEX(tblRoster[Start Date],$A34)&lt;=EOMONTH(I$4,0),OR(INDEX(tblRoster[End Date],$A34)="",INDEX(tblRoster[End Date],$A34)&gt;=I$4)),INDEX(tblRoster[Annual Salary],$A34)/12*(1+Assumptions!$B$3)*IF(MONTH(I$4)&gt;=Assumptions!$B$5,1+Assumptions!$B$4,1),0)</f>
        <v>16545.233333333334</v>
      </c>
      <c r="J34" s="5">
        <f>IF(AND(INDEX(tblRoster[Start Date],$A34)&lt;=EOMONTH(J$4,0),OR(INDEX(tblRoster[End Date],$A34)="",INDEX(tblRoster[End Date],$A34)&gt;=J$4)),INDEX(tblRoster[Annual Salary],$A34)/12*(1+Assumptions!$B$3)*IF(MONTH(J$4)&gt;=Assumptions!$B$5,1+Assumptions!$B$4,1),0)</f>
        <v>16545.233333333334</v>
      </c>
      <c r="K34" s="5">
        <f>IF(AND(INDEX(tblRoster[Start Date],$A34)&lt;=EOMONTH(K$4,0),OR(INDEX(tblRoster[End Date],$A34)="",INDEX(tblRoster[End Date],$A34)&gt;=K$4)),INDEX(tblRoster[Annual Salary],$A34)/12*(1+Assumptions!$B$3)*IF(MONTH(K$4)&gt;=Assumptions!$B$5,1+Assumptions!$B$4,1),0)</f>
        <v>16545.233333333334</v>
      </c>
      <c r="L34" s="5">
        <f>IF(AND(INDEX(tblRoster[Start Date],$A34)&lt;=EOMONTH(L$4,0),OR(INDEX(tblRoster[End Date],$A34)="",INDEX(tblRoster[End Date],$A34)&gt;=L$4)),INDEX(tblRoster[Annual Salary],$A34)/12*(1+Assumptions!$B$3)*IF(MONTH(L$4)&gt;=Assumptions!$B$5,1+Assumptions!$B$4,1),0)</f>
        <v>16545.233333333334</v>
      </c>
      <c r="M34" s="5">
        <f>IF(AND(INDEX(tblRoster[Start Date],$A34)&lt;=EOMONTH(M$4,0),OR(INDEX(tblRoster[End Date],$A34)="",INDEX(tblRoster[End Date],$A34)&gt;=M$4)),INDEX(tblRoster[Annual Salary],$A34)/12*(1+Assumptions!$B$3)*IF(MONTH(M$4)&gt;=Assumptions!$B$5,1+Assumptions!$B$4,1),0)</f>
        <v>16545.233333333334</v>
      </c>
      <c r="N34" s="5">
        <f>IF(AND(INDEX(tblRoster[Start Date],$A34)&lt;=EOMONTH(N$4,0),OR(INDEX(tblRoster[End Date],$A34)="",INDEX(tblRoster[End Date],$A34)&gt;=N$4)),INDEX(tblRoster[Annual Salary],$A34)/12*(1+Assumptions!$B$3)*IF(MONTH(N$4)&gt;=Assumptions!$B$5,1+Assumptions!$B$4,1),0)</f>
        <v>16545.233333333334</v>
      </c>
      <c r="O34" s="5">
        <f>IF(AND(INDEX(tblRoster[Start Date],$A34)&lt;=EOMONTH(O$4,0),OR(INDEX(tblRoster[End Date],$A34)="",INDEX(tblRoster[End Date],$A34)&gt;=O$4)),INDEX(tblRoster[Annual Salary],$A34)/12*(1+Assumptions!$B$3)*IF(MONTH(O$4)&gt;=Assumptions!$B$5,1+Assumptions!$B$4,1),0)</f>
        <v>16545.233333333334</v>
      </c>
      <c r="P34" s="5">
        <f>SUM(D34:O34)</f>
        <v>197097.10000000003</v>
      </c>
    </row>
    <row r="35">
      <c r="A35" t="n">
        <v>31</v>
      </c>
      <c r="B35" t="str">
        <f>INDEX(tblRoster[Emp ID],$A35)</f>
        <v>E132</v>
      </c>
      <c r="C35" t="str">
        <f>INDEX(tblRoster[Department],$A35)</f>
        <v>Support</v>
      </c>
      <c r="D35" s="5">
        <f>IF(AND(INDEX(tblRoster[Start Date],$A35)&lt;=EOMONTH(D$4,0),OR(INDEX(tblRoster[End Date],$A35)="",INDEX(tblRoster[End Date],$A35)&gt;=D$4)),INDEX(tblRoster[Annual Salary],$A35)/12*(1+Assumptions!$B$3)*IF(MONTH(D$4)&gt;=Assumptions!$B$5,1+Assumptions!$B$4,1),0)</f>
        <v>11488.333333333332</v>
      </c>
      <c r="E35" s="5">
        <f>IF(AND(INDEX(tblRoster[Start Date],$A35)&lt;=EOMONTH(E$4,0),OR(INDEX(tblRoster[End Date],$A35)="",INDEX(tblRoster[End Date],$A35)&gt;=E$4)),INDEX(tblRoster[Annual Salary],$A35)/12*(1+Assumptions!$B$3)*IF(MONTH(E$4)&gt;=Assumptions!$B$5,1+Assumptions!$B$4,1),0)</f>
        <v>11488.333333333332</v>
      </c>
      <c r="F35" s="5">
        <f>IF(AND(INDEX(tblRoster[Start Date],$A35)&lt;=EOMONTH(F$4,0),OR(INDEX(tblRoster[End Date],$A35)="",INDEX(tblRoster[End Date],$A35)&gt;=F$4)),INDEX(tblRoster[Annual Salary],$A35)/12*(1+Assumptions!$B$3)*IF(MONTH(F$4)&gt;=Assumptions!$B$5,1+Assumptions!$B$4,1),0)</f>
        <v>11488.333333333332</v>
      </c>
      <c r="G35" s="5">
        <f>IF(AND(INDEX(tblRoster[Start Date],$A35)&lt;=EOMONTH(G$4,0),OR(INDEX(tblRoster[End Date],$A35)="",INDEX(tblRoster[End Date],$A35)&gt;=G$4)),INDEX(tblRoster[Annual Salary],$A35)/12*(1+Assumptions!$B$3)*IF(MONTH(G$4)&gt;=Assumptions!$B$5,1+Assumptions!$B$4,1),0)</f>
        <v>11832.983333333332</v>
      </c>
      <c r="H35" s="5">
        <f>IF(AND(INDEX(tblRoster[Start Date],$A35)&lt;=EOMONTH(H$4,0),OR(INDEX(tblRoster[End Date],$A35)="",INDEX(tblRoster[End Date],$A35)&gt;=H$4)),INDEX(tblRoster[Annual Salary],$A35)/12*(1+Assumptions!$B$3)*IF(MONTH(H$4)&gt;=Assumptions!$B$5,1+Assumptions!$B$4,1),0)</f>
        <v>11832.983333333332</v>
      </c>
      <c r="I35" s="5">
        <f>IF(AND(INDEX(tblRoster[Start Date],$A35)&lt;=EOMONTH(I$4,0),OR(INDEX(tblRoster[End Date],$A35)="",INDEX(tblRoster[End Date],$A35)&gt;=I$4)),INDEX(tblRoster[Annual Salary],$A35)/12*(1+Assumptions!$B$3)*IF(MONTH(I$4)&gt;=Assumptions!$B$5,1+Assumptions!$B$4,1),0)</f>
        <v>11832.983333333332</v>
      </c>
      <c r="J35" s="5">
        <f>IF(AND(INDEX(tblRoster[Start Date],$A35)&lt;=EOMONTH(J$4,0),OR(INDEX(tblRoster[End Date],$A35)="",INDEX(tblRoster[End Date],$A35)&gt;=J$4)),INDEX(tblRoster[Annual Salary],$A35)/12*(1+Assumptions!$B$3)*IF(MONTH(J$4)&gt;=Assumptions!$B$5,1+Assumptions!$B$4,1),0)</f>
        <v>11832.983333333332</v>
      </c>
      <c r="K35" s="5">
        <f>IF(AND(INDEX(tblRoster[Start Date],$A35)&lt;=EOMONTH(K$4,0),OR(INDEX(tblRoster[End Date],$A35)="",INDEX(tblRoster[End Date],$A35)&gt;=K$4)),INDEX(tblRoster[Annual Salary],$A35)/12*(1+Assumptions!$B$3)*IF(MONTH(K$4)&gt;=Assumptions!$B$5,1+Assumptions!$B$4,1),0)</f>
        <v>11832.983333333332</v>
      </c>
      <c r="L35" s="5">
        <f>IF(AND(INDEX(tblRoster[Start Date],$A35)&lt;=EOMONTH(L$4,0),OR(INDEX(tblRoster[End Date],$A35)="",INDEX(tblRoster[End Date],$A35)&gt;=L$4)),INDEX(tblRoster[Annual Salary],$A35)/12*(1+Assumptions!$B$3)*IF(MONTH(L$4)&gt;=Assumptions!$B$5,1+Assumptions!$B$4,1),0)</f>
        <v>11832.983333333332</v>
      </c>
      <c r="M35" s="5">
        <f>IF(AND(INDEX(tblRoster[Start Date],$A35)&lt;=EOMONTH(M$4,0),OR(INDEX(tblRoster[End Date],$A35)="",INDEX(tblRoster[End Date],$A35)&gt;=M$4)),INDEX(tblRoster[Annual Salary],$A35)/12*(1+Assumptions!$B$3)*IF(MONTH(M$4)&gt;=Assumptions!$B$5,1+Assumptions!$B$4,1),0)</f>
        <v>11832.983333333332</v>
      </c>
      <c r="N35" s="5">
        <f>IF(AND(INDEX(tblRoster[Start Date],$A35)&lt;=EOMONTH(N$4,0),OR(INDEX(tblRoster[End Date],$A35)="",INDEX(tblRoster[End Date],$A35)&gt;=N$4)),INDEX(tblRoster[Annual Salary],$A35)/12*(1+Assumptions!$B$3)*IF(MONTH(N$4)&gt;=Assumptions!$B$5,1+Assumptions!$B$4,1),0)</f>
        <v>11832.983333333332</v>
      </c>
      <c r="O35" s="5">
        <f>IF(AND(INDEX(tblRoster[Start Date],$A35)&lt;=EOMONTH(O$4,0),OR(INDEX(tblRoster[End Date],$A35)="",INDEX(tblRoster[End Date],$A35)&gt;=O$4)),INDEX(tblRoster[Annual Salary],$A35)/12*(1+Assumptions!$B$3)*IF(MONTH(O$4)&gt;=Assumptions!$B$5,1+Assumptions!$B$4,1),0)</f>
        <v>11832.983333333332</v>
      </c>
      <c r="P35" s="5">
        <f>SUM(D35:O35)</f>
        <v>140961.85</v>
      </c>
    </row>
    <row r="36">
      <c r="A36" t="n">
        <v>32</v>
      </c>
      <c r="B36" t="str">
        <f>INDEX(tblRoster[Emp ID],$A36)</f>
        <v>E133</v>
      </c>
      <c r="C36" t="str">
        <f>INDEX(tblRoster[Department],$A36)</f>
        <v>Sales</v>
      </c>
      <c r="D36" s="5">
        <f>IF(AND(INDEX(tblRoster[Start Date],$A36)&lt;=EOMONTH(D$4,0),OR(INDEX(tblRoster[End Date],$A36)="",INDEX(tblRoster[End Date],$A36)&gt;=D$4)),INDEX(tblRoster[Annual Salary],$A36)/12*(1+Assumptions!$B$3)*IF(MONTH(D$4)&gt;=Assumptions!$B$5,1+Assumptions!$B$4,1),0)</f>
        <v>12708.333333333332</v>
      </c>
      <c r="E36" s="5">
        <f>IF(AND(INDEX(tblRoster[Start Date],$A36)&lt;=EOMONTH(E$4,0),OR(INDEX(tblRoster[End Date],$A36)="",INDEX(tblRoster[End Date],$A36)&gt;=E$4)),INDEX(tblRoster[Annual Salary],$A36)/12*(1+Assumptions!$B$3)*IF(MONTH(E$4)&gt;=Assumptions!$B$5,1+Assumptions!$B$4,1),0)</f>
        <v>12708.333333333332</v>
      </c>
      <c r="F36" s="5">
        <f>IF(AND(INDEX(tblRoster[Start Date],$A36)&lt;=EOMONTH(F$4,0),OR(INDEX(tblRoster[End Date],$A36)="",INDEX(tblRoster[End Date],$A36)&gt;=F$4)),INDEX(tblRoster[Annual Salary],$A36)/12*(1+Assumptions!$B$3)*IF(MONTH(F$4)&gt;=Assumptions!$B$5,1+Assumptions!$B$4,1),0)</f>
        <v>12708.333333333332</v>
      </c>
      <c r="G36" s="5">
        <f>IF(AND(INDEX(tblRoster[Start Date],$A36)&lt;=EOMONTH(G$4,0),OR(INDEX(tblRoster[End Date],$A36)="",INDEX(tblRoster[End Date],$A36)&gt;=G$4)),INDEX(tblRoster[Annual Salary],$A36)/12*(1+Assumptions!$B$3)*IF(MONTH(G$4)&gt;=Assumptions!$B$5,1+Assumptions!$B$4,1),0)</f>
        <v>13089.583333333332</v>
      </c>
      <c r="H36" s="5">
        <f>IF(AND(INDEX(tblRoster[Start Date],$A36)&lt;=EOMONTH(H$4,0),OR(INDEX(tblRoster[End Date],$A36)="",INDEX(tblRoster[End Date],$A36)&gt;=H$4)),INDEX(tblRoster[Annual Salary],$A36)/12*(1+Assumptions!$B$3)*IF(MONTH(H$4)&gt;=Assumptions!$B$5,1+Assumptions!$B$4,1),0)</f>
        <v>13089.583333333332</v>
      </c>
      <c r="I36" s="5">
        <f>IF(AND(INDEX(tblRoster[Start Date],$A36)&lt;=EOMONTH(I$4,0),OR(INDEX(tblRoster[End Date],$A36)="",INDEX(tblRoster[End Date],$A36)&gt;=I$4)),INDEX(tblRoster[Annual Salary],$A36)/12*(1+Assumptions!$B$3)*IF(MONTH(I$4)&gt;=Assumptions!$B$5,1+Assumptions!$B$4,1),0)</f>
        <v>0</v>
      </c>
      <c r="J36" s="5">
        <f>IF(AND(INDEX(tblRoster[Start Date],$A36)&lt;=EOMONTH(J$4,0),OR(INDEX(tblRoster[End Date],$A36)="",INDEX(tblRoster[End Date],$A36)&gt;=J$4)),INDEX(tblRoster[Annual Salary],$A36)/12*(1+Assumptions!$B$3)*IF(MONTH(J$4)&gt;=Assumptions!$B$5,1+Assumptions!$B$4,1),0)</f>
        <v>0</v>
      </c>
      <c r="K36" s="5">
        <f>IF(AND(INDEX(tblRoster[Start Date],$A36)&lt;=EOMONTH(K$4,0),OR(INDEX(tblRoster[End Date],$A36)="",INDEX(tblRoster[End Date],$A36)&gt;=K$4)),INDEX(tblRoster[Annual Salary],$A36)/12*(1+Assumptions!$B$3)*IF(MONTH(K$4)&gt;=Assumptions!$B$5,1+Assumptions!$B$4,1),0)</f>
        <v>0</v>
      </c>
      <c r="L36" s="5">
        <f>IF(AND(INDEX(tblRoster[Start Date],$A36)&lt;=EOMONTH(L$4,0),OR(INDEX(tblRoster[End Date],$A36)="",INDEX(tblRoster[End Date],$A36)&gt;=L$4)),INDEX(tblRoster[Annual Salary],$A36)/12*(1+Assumptions!$B$3)*IF(MONTH(L$4)&gt;=Assumptions!$B$5,1+Assumptions!$B$4,1),0)</f>
        <v>0</v>
      </c>
      <c r="M36" s="5">
        <f>IF(AND(INDEX(tblRoster[Start Date],$A36)&lt;=EOMONTH(M$4,0),OR(INDEX(tblRoster[End Date],$A36)="",INDEX(tblRoster[End Date],$A36)&gt;=M$4)),INDEX(tblRoster[Annual Salary],$A36)/12*(1+Assumptions!$B$3)*IF(MONTH(M$4)&gt;=Assumptions!$B$5,1+Assumptions!$B$4,1),0)</f>
        <v>0</v>
      </c>
      <c r="N36" s="5">
        <f>IF(AND(INDEX(tblRoster[Start Date],$A36)&lt;=EOMONTH(N$4,0),OR(INDEX(tblRoster[End Date],$A36)="",INDEX(tblRoster[End Date],$A36)&gt;=N$4)),INDEX(tblRoster[Annual Salary],$A36)/12*(1+Assumptions!$B$3)*IF(MONTH(N$4)&gt;=Assumptions!$B$5,1+Assumptions!$B$4,1),0)</f>
        <v>0</v>
      </c>
      <c r="O36" s="5">
        <f>IF(AND(INDEX(tblRoster[Start Date],$A36)&lt;=EOMONTH(O$4,0),OR(INDEX(tblRoster[End Date],$A36)="",INDEX(tblRoster[End Date],$A36)&gt;=O$4)),INDEX(tblRoster[Annual Salary],$A36)/12*(1+Assumptions!$B$3)*IF(MONTH(O$4)&gt;=Assumptions!$B$5,1+Assumptions!$B$4,1),0)</f>
        <v>0</v>
      </c>
      <c r="P36" s="5">
        <f>SUM(D36:O36)</f>
        <v>64304.16666666666</v>
      </c>
    </row>
    <row r="37">
      <c r="A37" t="n">
        <v>33</v>
      </c>
      <c r="B37" t="str">
        <f>INDEX(tblRoster[Emp ID],$A37)</f>
        <v>E134</v>
      </c>
      <c r="C37" t="str">
        <f>INDEX(tblRoster[Department],$A37)</f>
        <v>G&amp;A</v>
      </c>
      <c r="D37" s="5">
        <f>IF(AND(INDEX(tblRoster[Start Date],$A37)&lt;=EOMONTH(D$4,0),OR(INDEX(tblRoster[End Date],$A37)="",INDEX(tblRoster[End Date],$A37)&gt;=D$4)),INDEX(tblRoster[Annual Salary],$A37)/12*(1+Assumptions!$B$3)*IF(MONTH(D$4)&gt;=Assumptions!$B$5,1+Assumptions!$B$4,1),0)</f>
        <v>0</v>
      </c>
      <c r="E37" s="5">
        <f>IF(AND(INDEX(tblRoster[Start Date],$A37)&lt;=EOMONTH(E$4,0),OR(INDEX(tblRoster[End Date],$A37)="",INDEX(tblRoster[End Date],$A37)&gt;=E$4)),INDEX(tblRoster[Annual Salary],$A37)/12*(1+Assumptions!$B$3)*IF(MONTH(E$4)&gt;=Assumptions!$B$5,1+Assumptions!$B$4,1),0)</f>
        <v>0</v>
      </c>
      <c r="F37" s="5">
        <f>IF(AND(INDEX(tblRoster[Start Date],$A37)&lt;=EOMONTH(F$4,0),OR(INDEX(tblRoster[End Date],$A37)="",INDEX(tblRoster[End Date],$A37)&gt;=F$4)),INDEX(tblRoster[Annual Salary],$A37)/12*(1+Assumptions!$B$3)*IF(MONTH(F$4)&gt;=Assumptions!$B$5,1+Assumptions!$B$4,1),0)</f>
        <v>0</v>
      </c>
      <c r="G37" s="5">
        <f>IF(AND(INDEX(tblRoster[Start Date],$A37)&lt;=EOMONTH(G$4,0),OR(INDEX(tblRoster[End Date],$A37)="",INDEX(tblRoster[End Date],$A37)&gt;=G$4)),INDEX(tblRoster[Annual Salary],$A37)/12*(1+Assumptions!$B$3)*IF(MONTH(G$4)&gt;=Assumptions!$B$5,1+Assumptions!$B$4,1),0)</f>
        <v>13927.316666666668</v>
      </c>
      <c r="H37" s="5">
        <f>IF(AND(INDEX(tblRoster[Start Date],$A37)&lt;=EOMONTH(H$4,0),OR(INDEX(tblRoster[End Date],$A37)="",INDEX(tblRoster[End Date],$A37)&gt;=H$4)),INDEX(tblRoster[Annual Salary],$A37)/12*(1+Assumptions!$B$3)*IF(MONTH(H$4)&gt;=Assumptions!$B$5,1+Assumptions!$B$4,1),0)</f>
        <v>13927.316666666668</v>
      </c>
      <c r="I37" s="5">
        <f>IF(AND(INDEX(tblRoster[Start Date],$A37)&lt;=EOMONTH(I$4,0),OR(INDEX(tblRoster[End Date],$A37)="",INDEX(tblRoster[End Date],$A37)&gt;=I$4)),INDEX(tblRoster[Annual Salary],$A37)/12*(1+Assumptions!$B$3)*IF(MONTH(I$4)&gt;=Assumptions!$B$5,1+Assumptions!$B$4,1),0)</f>
        <v>13927.316666666668</v>
      </c>
      <c r="J37" s="5">
        <f>IF(AND(INDEX(tblRoster[Start Date],$A37)&lt;=EOMONTH(J$4,0),OR(INDEX(tblRoster[End Date],$A37)="",INDEX(tblRoster[End Date],$A37)&gt;=J$4)),INDEX(tblRoster[Annual Salary],$A37)/12*(1+Assumptions!$B$3)*IF(MONTH(J$4)&gt;=Assumptions!$B$5,1+Assumptions!$B$4,1),0)</f>
        <v>13927.316666666668</v>
      </c>
      <c r="K37" s="5">
        <f>IF(AND(INDEX(tblRoster[Start Date],$A37)&lt;=EOMONTH(K$4,0),OR(INDEX(tblRoster[End Date],$A37)="",INDEX(tblRoster[End Date],$A37)&gt;=K$4)),INDEX(tblRoster[Annual Salary],$A37)/12*(1+Assumptions!$B$3)*IF(MONTH(K$4)&gt;=Assumptions!$B$5,1+Assumptions!$B$4,1),0)</f>
        <v>13927.316666666668</v>
      </c>
      <c r="L37" s="5">
        <f>IF(AND(INDEX(tblRoster[Start Date],$A37)&lt;=EOMONTH(L$4,0),OR(INDEX(tblRoster[End Date],$A37)="",INDEX(tblRoster[End Date],$A37)&gt;=L$4)),INDEX(tblRoster[Annual Salary],$A37)/12*(1+Assumptions!$B$3)*IF(MONTH(L$4)&gt;=Assumptions!$B$5,1+Assumptions!$B$4,1),0)</f>
        <v>13927.316666666668</v>
      </c>
      <c r="M37" s="5">
        <f>IF(AND(INDEX(tblRoster[Start Date],$A37)&lt;=EOMONTH(M$4,0),OR(INDEX(tblRoster[End Date],$A37)="",INDEX(tblRoster[End Date],$A37)&gt;=M$4)),INDEX(tblRoster[Annual Salary],$A37)/12*(1+Assumptions!$B$3)*IF(MONTH(M$4)&gt;=Assumptions!$B$5,1+Assumptions!$B$4,1),0)</f>
        <v>13927.316666666668</v>
      </c>
      <c r="N37" s="5">
        <f>IF(AND(INDEX(tblRoster[Start Date],$A37)&lt;=EOMONTH(N$4,0),OR(INDEX(tblRoster[End Date],$A37)="",INDEX(tblRoster[End Date],$A37)&gt;=N$4)),INDEX(tblRoster[Annual Salary],$A37)/12*(1+Assumptions!$B$3)*IF(MONTH(N$4)&gt;=Assumptions!$B$5,1+Assumptions!$B$4,1),0)</f>
        <v>13927.316666666668</v>
      </c>
      <c r="O37" s="5">
        <f>IF(AND(INDEX(tblRoster[Start Date],$A37)&lt;=EOMONTH(O$4,0),OR(INDEX(tblRoster[End Date],$A37)="",INDEX(tblRoster[End Date],$A37)&gt;=O$4)),INDEX(tblRoster[Annual Salary],$A37)/12*(1+Assumptions!$B$3)*IF(MONTH(O$4)&gt;=Assumptions!$B$5,1+Assumptions!$B$4,1),0)</f>
        <v>13927.316666666668</v>
      </c>
      <c r="P37" s="5">
        <f>SUM(D37:O37)</f>
        <v>125345.85</v>
      </c>
    </row>
    <row r="38">
      <c r="A38" t="n">
        <v>34</v>
      </c>
      <c r="B38" t="str">
        <f>INDEX(tblRoster[Emp ID],$A38)</f>
        <v>E135</v>
      </c>
      <c r="C38" t="str">
        <f>INDEX(tblRoster[Department],$A38)</f>
        <v>Engineering</v>
      </c>
      <c r="D38" s="5">
        <f>IF(AND(INDEX(tblRoster[Start Date],$A38)&lt;=EOMONTH(D$4,0),OR(INDEX(tblRoster[End Date],$A38)="",INDEX(tblRoster[End Date],$A38)&gt;=D$4)),INDEX(tblRoster[Annual Salary],$A38)/12*(1+Assumptions!$B$3)*IF(MONTH(D$4)&gt;=Assumptions!$B$5,1+Assumptions!$B$4,1),0)</f>
        <v>0</v>
      </c>
      <c r="E38" s="5">
        <f>IF(AND(INDEX(tblRoster[Start Date],$A38)&lt;=EOMONTH(E$4,0),OR(INDEX(tblRoster[End Date],$A38)="",INDEX(tblRoster[End Date],$A38)&gt;=E$4)),INDEX(tblRoster[Annual Salary],$A38)/12*(1+Assumptions!$B$3)*IF(MONTH(E$4)&gt;=Assumptions!$B$5,1+Assumptions!$B$4,1),0)</f>
        <v>0</v>
      </c>
      <c r="F38" s="5">
        <f>IF(AND(INDEX(tblRoster[Start Date],$A38)&lt;=EOMONTH(F$4,0),OR(INDEX(tblRoster[End Date],$A38)="",INDEX(tblRoster[End Date],$A38)&gt;=F$4)),INDEX(tblRoster[Annual Salary],$A38)/12*(1+Assumptions!$B$3)*IF(MONTH(F$4)&gt;=Assumptions!$B$5,1+Assumptions!$B$4,1),0)</f>
        <v>0</v>
      </c>
      <c r="G38" s="5">
        <f>IF(AND(INDEX(tblRoster[Start Date],$A38)&lt;=EOMONTH(G$4,0),OR(INDEX(tblRoster[End Date],$A38)="",INDEX(tblRoster[End Date],$A38)&gt;=G$4)),INDEX(tblRoster[Annual Salary],$A38)/12*(1+Assumptions!$B$3)*IF(MONTH(G$4)&gt;=Assumptions!$B$5,1+Assumptions!$B$4,1),0)</f>
        <v>0</v>
      </c>
      <c r="H38" s="5">
        <f>IF(AND(INDEX(tblRoster[Start Date],$A38)&lt;=EOMONTH(H$4,0),OR(INDEX(tblRoster[End Date],$A38)="",INDEX(tblRoster[End Date],$A38)&gt;=H$4)),INDEX(tblRoster[Annual Salary],$A38)/12*(1+Assumptions!$B$3)*IF(MONTH(H$4)&gt;=Assumptions!$B$5,1+Assumptions!$B$4,1),0)</f>
        <v>0</v>
      </c>
      <c r="I38" s="5">
        <f>IF(AND(INDEX(tblRoster[Start Date],$A38)&lt;=EOMONTH(I$4,0),OR(INDEX(tblRoster[End Date],$A38)="",INDEX(tblRoster[End Date],$A38)&gt;=I$4)),INDEX(tblRoster[Annual Salary],$A38)/12*(1+Assumptions!$B$3)*IF(MONTH(I$4)&gt;=Assumptions!$B$5,1+Assumptions!$B$4,1),0)</f>
        <v>0</v>
      </c>
      <c r="J38" s="5">
        <f>IF(AND(INDEX(tblRoster[Start Date],$A38)&lt;=EOMONTH(J$4,0),OR(INDEX(tblRoster[End Date],$A38)="",INDEX(tblRoster[End Date],$A38)&gt;=J$4)),INDEX(tblRoster[Annual Salary],$A38)/12*(1+Assumptions!$B$3)*IF(MONTH(J$4)&gt;=Assumptions!$B$5,1+Assumptions!$B$4,1),0)</f>
        <v>0</v>
      </c>
      <c r="K38" s="5">
        <f>IF(AND(INDEX(tblRoster[Start Date],$A38)&lt;=EOMONTH(K$4,0),OR(INDEX(tblRoster[End Date],$A38)="",INDEX(tblRoster[End Date],$A38)&gt;=K$4)),INDEX(tblRoster[Annual Salary],$A38)/12*(1+Assumptions!$B$3)*IF(MONTH(K$4)&gt;=Assumptions!$B$5,1+Assumptions!$B$4,1),0)</f>
        <v>20629.183333333338</v>
      </c>
      <c r="L38" s="5">
        <f>IF(AND(INDEX(tblRoster[Start Date],$A38)&lt;=EOMONTH(L$4,0),OR(INDEX(tblRoster[End Date],$A38)="",INDEX(tblRoster[End Date],$A38)&gt;=L$4)),INDEX(tblRoster[Annual Salary],$A38)/12*(1+Assumptions!$B$3)*IF(MONTH(L$4)&gt;=Assumptions!$B$5,1+Assumptions!$B$4,1),0)</f>
        <v>20629.183333333338</v>
      </c>
      <c r="M38" s="5">
        <f>IF(AND(INDEX(tblRoster[Start Date],$A38)&lt;=EOMONTH(M$4,0),OR(INDEX(tblRoster[End Date],$A38)="",INDEX(tblRoster[End Date],$A38)&gt;=M$4)),INDEX(tblRoster[Annual Salary],$A38)/12*(1+Assumptions!$B$3)*IF(MONTH(M$4)&gt;=Assumptions!$B$5,1+Assumptions!$B$4,1),0)</f>
        <v>20629.183333333338</v>
      </c>
      <c r="N38" s="5">
        <f>IF(AND(INDEX(tblRoster[Start Date],$A38)&lt;=EOMONTH(N$4,0),OR(INDEX(tblRoster[End Date],$A38)="",INDEX(tblRoster[End Date],$A38)&gt;=N$4)),INDEX(tblRoster[Annual Salary],$A38)/12*(1+Assumptions!$B$3)*IF(MONTH(N$4)&gt;=Assumptions!$B$5,1+Assumptions!$B$4,1),0)</f>
        <v>20629.183333333338</v>
      </c>
      <c r="O38" s="5">
        <f>IF(AND(INDEX(tblRoster[Start Date],$A38)&lt;=EOMONTH(O$4,0),OR(INDEX(tblRoster[End Date],$A38)="",INDEX(tblRoster[End Date],$A38)&gt;=O$4)),INDEX(tblRoster[Annual Salary],$A38)/12*(1+Assumptions!$B$3)*IF(MONTH(O$4)&gt;=Assumptions!$B$5,1+Assumptions!$B$4,1),0)</f>
        <v>20629.183333333338</v>
      </c>
      <c r="P38" s="5">
        <f>SUM(D38:O38)</f>
        <v>103145.91666666669</v>
      </c>
    </row>
    <row r="39">
      <c r="A39" t="n">
        <v>35</v>
      </c>
      <c r="B39" t="str">
        <f>INDEX(tblRoster[Emp ID],$A39)</f>
        <v>E136</v>
      </c>
      <c r="C39" t="str">
        <f>INDEX(tblRoster[Department],$A39)</f>
        <v>Marketing</v>
      </c>
      <c r="D39" s="5">
        <f>IF(AND(INDEX(tblRoster[Start Date],$A39)&lt;=EOMONTH(D$4,0),OR(INDEX(tblRoster[End Date],$A39)="",INDEX(tblRoster[End Date],$A39)&gt;=D$4)),INDEX(tblRoster[Annual Salary],$A39)/12*(1+Assumptions!$B$3)*IF(MONTH(D$4)&gt;=Assumptions!$B$5,1+Assumptions!$B$4,1),0)</f>
        <v>0</v>
      </c>
      <c r="E39" s="5">
        <f>IF(AND(INDEX(tblRoster[Start Date],$A39)&lt;=EOMONTH(E$4,0),OR(INDEX(tblRoster[End Date],$A39)="",INDEX(tblRoster[End Date],$A39)&gt;=E$4)),INDEX(tblRoster[Annual Salary],$A39)/12*(1+Assumptions!$B$3)*IF(MONTH(E$4)&gt;=Assumptions!$B$5,1+Assumptions!$B$4,1),0)</f>
        <v>0</v>
      </c>
      <c r="F39" s="5">
        <f>IF(AND(INDEX(tblRoster[Start Date],$A39)&lt;=EOMONTH(F$4,0),OR(INDEX(tblRoster[End Date],$A39)="",INDEX(tblRoster[End Date],$A39)&gt;=F$4)),INDEX(tblRoster[Annual Salary],$A39)/12*(1+Assumptions!$B$3)*IF(MONTH(F$4)&gt;=Assumptions!$B$5,1+Assumptions!$B$4,1),0)</f>
        <v>0</v>
      </c>
      <c r="G39" s="5">
        <f>IF(AND(INDEX(tblRoster[Start Date],$A39)&lt;=EOMONTH(G$4,0),OR(INDEX(tblRoster[End Date],$A39)="",INDEX(tblRoster[End Date],$A39)&gt;=G$4)),INDEX(tblRoster[Annual Salary],$A39)/12*(1+Assumptions!$B$3)*IF(MONTH(G$4)&gt;=Assumptions!$B$5,1+Assumptions!$B$4,1),0)</f>
        <v>19267.86666666667</v>
      </c>
      <c r="H39" s="5">
        <f>IF(AND(INDEX(tblRoster[Start Date],$A39)&lt;=EOMONTH(H$4,0),OR(INDEX(tblRoster[End Date],$A39)="",INDEX(tblRoster[End Date],$A39)&gt;=H$4)),INDEX(tblRoster[Annual Salary],$A39)/12*(1+Assumptions!$B$3)*IF(MONTH(H$4)&gt;=Assumptions!$B$5,1+Assumptions!$B$4,1),0)</f>
        <v>19267.86666666667</v>
      </c>
      <c r="I39" s="5">
        <f>IF(AND(INDEX(tblRoster[Start Date],$A39)&lt;=EOMONTH(I$4,0),OR(INDEX(tblRoster[End Date],$A39)="",INDEX(tblRoster[End Date],$A39)&gt;=I$4)),INDEX(tblRoster[Annual Salary],$A39)/12*(1+Assumptions!$B$3)*IF(MONTH(I$4)&gt;=Assumptions!$B$5,1+Assumptions!$B$4,1),0)</f>
        <v>19267.86666666667</v>
      </c>
      <c r="J39" s="5">
        <f>IF(AND(INDEX(tblRoster[Start Date],$A39)&lt;=EOMONTH(J$4,0),OR(INDEX(tblRoster[End Date],$A39)="",INDEX(tblRoster[End Date],$A39)&gt;=J$4)),INDEX(tblRoster[Annual Salary],$A39)/12*(1+Assumptions!$B$3)*IF(MONTH(J$4)&gt;=Assumptions!$B$5,1+Assumptions!$B$4,1),0)</f>
        <v>19267.86666666667</v>
      </c>
      <c r="K39" s="5">
        <f>IF(AND(INDEX(tblRoster[Start Date],$A39)&lt;=EOMONTH(K$4,0),OR(INDEX(tblRoster[End Date],$A39)="",INDEX(tblRoster[End Date],$A39)&gt;=K$4)),INDEX(tblRoster[Annual Salary],$A39)/12*(1+Assumptions!$B$3)*IF(MONTH(K$4)&gt;=Assumptions!$B$5,1+Assumptions!$B$4,1),0)</f>
        <v>19267.86666666667</v>
      </c>
      <c r="L39" s="5">
        <f>IF(AND(INDEX(tblRoster[Start Date],$A39)&lt;=EOMONTH(L$4,0),OR(INDEX(tblRoster[End Date],$A39)="",INDEX(tblRoster[End Date],$A39)&gt;=L$4)),INDEX(tblRoster[Annual Salary],$A39)/12*(1+Assumptions!$B$3)*IF(MONTH(L$4)&gt;=Assumptions!$B$5,1+Assumptions!$B$4,1),0)</f>
        <v>19267.86666666667</v>
      </c>
      <c r="M39" s="5">
        <f>IF(AND(INDEX(tblRoster[Start Date],$A39)&lt;=EOMONTH(M$4,0),OR(INDEX(tblRoster[End Date],$A39)="",INDEX(tblRoster[End Date],$A39)&gt;=M$4)),INDEX(tblRoster[Annual Salary],$A39)/12*(1+Assumptions!$B$3)*IF(MONTH(M$4)&gt;=Assumptions!$B$5,1+Assumptions!$B$4,1),0)</f>
        <v>19267.86666666667</v>
      </c>
      <c r="N39" s="5">
        <f>IF(AND(INDEX(tblRoster[Start Date],$A39)&lt;=EOMONTH(N$4,0),OR(INDEX(tblRoster[End Date],$A39)="",INDEX(tblRoster[End Date],$A39)&gt;=N$4)),INDEX(tblRoster[Annual Salary],$A39)/12*(1+Assumptions!$B$3)*IF(MONTH(N$4)&gt;=Assumptions!$B$5,1+Assumptions!$B$4,1),0)</f>
        <v>19267.86666666667</v>
      </c>
      <c r="O39" s="5">
        <f>IF(AND(INDEX(tblRoster[Start Date],$A39)&lt;=EOMONTH(O$4,0),OR(INDEX(tblRoster[End Date],$A39)="",INDEX(tblRoster[End Date],$A39)&gt;=O$4)),INDEX(tblRoster[Annual Salary],$A39)/12*(1+Assumptions!$B$3)*IF(MONTH(O$4)&gt;=Assumptions!$B$5,1+Assumptions!$B$4,1),0)</f>
        <v>19267.86666666667</v>
      </c>
      <c r="P39" s="5">
        <f>SUM(D39:O39)</f>
        <v>173410.80000000002</v>
      </c>
    </row>
    <row r="40">
      <c r="A40" t="n">
        <v>36</v>
      </c>
      <c r="B40" t="str">
        <f>INDEX(tblRoster[Emp ID],$A40)</f>
        <v>E137</v>
      </c>
      <c r="C40" t="str">
        <f>INDEX(tblRoster[Department],$A40)</f>
        <v>Support</v>
      </c>
      <c r="D40" s="5">
        <f>IF(AND(INDEX(tblRoster[Start Date],$A40)&lt;=EOMONTH(D$4,0),OR(INDEX(tblRoster[End Date],$A40)="",INDEX(tblRoster[End Date],$A40)&gt;=D$4)),INDEX(tblRoster[Annual Salary],$A40)/12*(1+Assumptions!$B$3)*IF(MONTH(D$4)&gt;=Assumptions!$B$5,1+Assumptions!$B$4,1),0)</f>
        <v>0</v>
      </c>
      <c r="E40" s="5">
        <f>IF(AND(INDEX(tblRoster[Start Date],$A40)&lt;=EOMONTH(E$4,0),OR(INDEX(tblRoster[End Date],$A40)="",INDEX(tblRoster[End Date],$A40)&gt;=E$4)),INDEX(tblRoster[Annual Salary],$A40)/12*(1+Assumptions!$B$3)*IF(MONTH(E$4)&gt;=Assumptions!$B$5,1+Assumptions!$B$4,1),0)</f>
        <v>0</v>
      </c>
      <c r="F40" s="5">
        <f>IF(AND(INDEX(tblRoster[Start Date],$A40)&lt;=EOMONTH(F$4,0),OR(INDEX(tblRoster[End Date],$A40)="",INDEX(tblRoster[End Date],$A40)&gt;=F$4)),INDEX(tblRoster[Annual Salary],$A40)/12*(1+Assumptions!$B$3)*IF(MONTH(F$4)&gt;=Assumptions!$B$5,1+Assumptions!$B$4,1),0)</f>
        <v>0</v>
      </c>
      <c r="G40" s="5">
        <f>IF(AND(INDEX(tblRoster[Start Date],$A40)&lt;=EOMONTH(G$4,0),OR(INDEX(tblRoster[End Date],$A40)="",INDEX(tblRoster[End Date],$A40)&gt;=G$4)),INDEX(tblRoster[Annual Salary],$A40)/12*(1+Assumptions!$B$3)*IF(MONTH(G$4)&gt;=Assumptions!$B$5,1+Assumptions!$B$4,1),0)</f>
        <v>0</v>
      </c>
      <c r="H40" s="5">
        <f>IF(AND(INDEX(tblRoster[Start Date],$A40)&lt;=EOMONTH(H$4,0),OR(INDEX(tblRoster[End Date],$A40)="",INDEX(tblRoster[End Date],$A40)&gt;=H$4)),INDEX(tblRoster[Annual Salary],$A40)/12*(1+Assumptions!$B$3)*IF(MONTH(H$4)&gt;=Assumptions!$B$5,1+Assumptions!$B$4,1),0)</f>
        <v>0</v>
      </c>
      <c r="I40" s="5">
        <f>IF(AND(INDEX(tblRoster[Start Date],$A40)&lt;=EOMONTH(I$4,0),OR(INDEX(tblRoster[End Date],$A40)="",INDEX(tblRoster[End Date],$A40)&gt;=I$4)),INDEX(tblRoster[Annual Salary],$A40)/12*(1+Assumptions!$B$3)*IF(MONTH(I$4)&gt;=Assumptions!$B$5,1+Assumptions!$B$4,1),0)</f>
        <v>0</v>
      </c>
      <c r="J40" s="5">
        <f>IF(AND(INDEX(tblRoster[Start Date],$A40)&lt;=EOMONTH(J$4,0),OR(INDEX(tblRoster[End Date],$A40)="",INDEX(tblRoster[End Date],$A40)&gt;=J$4)),INDEX(tblRoster[Annual Salary],$A40)/12*(1+Assumptions!$B$3)*IF(MONTH(J$4)&gt;=Assumptions!$B$5,1+Assumptions!$B$4,1),0)</f>
        <v>0</v>
      </c>
      <c r="K40" s="5">
        <f>IF(AND(INDEX(tblRoster[Start Date],$A40)&lt;=EOMONTH(K$4,0),OR(INDEX(tblRoster[End Date],$A40)="",INDEX(tblRoster[End Date],$A40)&gt;=K$4)),INDEX(tblRoster[Annual Salary],$A40)/12*(1+Assumptions!$B$3)*IF(MONTH(K$4)&gt;=Assumptions!$B$5,1+Assumptions!$B$4,1),0)</f>
        <v>0</v>
      </c>
      <c r="L40" s="5">
        <f>IF(AND(INDEX(tblRoster[Start Date],$A40)&lt;=EOMONTH(L$4,0),OR(INDEX(tblRoster[End Date],$A40)="",INDEX(tblRoster[End Date],$A40)&gt;=L$4)),INDEX(tblRoster[Annual Salary],$A40)/12*(1+Assumptions!$B$3)*IF(MONTH(L$4)&gt;=Assumptions!$B$5,1+Assumptions!$B$4,1),0)</f>
        <v>0</v>
      </c>
      <c r="M40" s="5">
        <f>IF(AND(INDEX(tblRoster[Start Date],$A40)&lt;=EOMONTH(M$4,0),OR(INDEX(tblRoster[End Date],$A40)="",INDEX(tblRoster[End Date],$A40)&gt;=M$4)),INDEX(tblRoster[Annual Salary],$A40)/12*(1+Assumptions!$B$3)*IF(MONTH(M$4)&gt;=Assumptions!$B$5,1+Assumptions!$B$4,1),0)</f>
        <v>14765.050000000001</v>
      </c>
      <c r="N40" s="5">
        <f>IF(AND(INDEX(tblRoster[Start Date],$A40)&lt;=EOMONTH(N$4,0),OR(INDEX(tblRoster[End Date],$A40)="",INDEX(tblRoster[End Date],$A40)&gt;=N$4)),INDEX(tblRoster[Annual Salary],$A40)/12*(1+Assumptions!$B$3)*IF(MONTH(N$4)&gt;=Assumptions!$B$5,1+Assumptions!$B$4,1),0)</f>
        <v>14765.050000000001</v>
      </c>
      <c r="O40" s="5">
        <f>IF(AND(INDEX(tblRoster[Start Date],$A40)&lt;=EOMONTH(O$4,0),OR(INDEX(tblRoster[End Date],$A40)="",INDEX(tblRoster[End Date],$A40)&gt;=O$4)),INDEX(tblRoster[Annual Salary],$A40)/12*(1+Assumptions!$B$3)*IF(MONTH(O$4)&gt;=Assumptions!$B$5,1+Assumptions!$B$4,1),0)</f>
        <v>14765.050000000001</v>
      </c>
      <c r="P40" s="5">
        <f>SUM(D40:O40)</f>
        <v>44295.15</v>
      </c>
    </row>
    <row r="41">
      <c r="A41" t="n">
        <v>37</v>
      </c>
      <c r="B41" t="str">
        <f>INDEX(tblRoster[Emp ID],$A41)</f>
        <v>E138</v>
      </c>
      <c r="C41" t="str">
        <f>INDEX(tblRoster[Department],$A41)</f>
        <v>Sales</v>
      </c>
      <c r="D41" s="5">
        <f>IF(AND(INDEX(tblRoster[Start Date],$A41)&lt;=EOMONTH(D$4,0),OR(INDEX(tblRoster[End Date],$A41)="",INDEX(tblRoster[End Date],$A41)&gt;=D$4)),INDEX(tblRoster[Annual Salary],$A41)/12*(1+Assumptions!$B$3)*IF(MONTH(D$4)&gt;=Assumptions!$B$5,1+Assumptions!$B$4,1),0)</f>
        <v>0</v>
      </c>
      <c r="E41" s="5">
        <f>IF(AND(INDEX(tblRoster[Start Date],$A41)&lt;=EOMONTH(E$4,0),OR(INDEX(tblRoster[End Date],$A41)="",INDEX(tblRoster[End Date],$A41)&gt;=E$4)),INDEX(tblRoster[Annual Salary],$A41)/12*(1+Assumptions!$B$3)*IF(MONTH(E$4)&gt;=Assumptions!$B$5,1+Assumptions!$B$4,1),0)</f>
        <v>0</v>
      </c>
      <c r="F41" s="5">
        <f>IF(AND(INDEX(tblRoster[Start Date],$A41)&lt;=EOMONTH(F$4,0),OR(INDEX(tblRoster[End Date],$A41)="",INDEX(tblRoster[End Date],$A41)&gt;=F$4)),INDEX(tblRoster[Annual Salary],$A41)/12*(1+Assumptions!$B$3)*IF(MONTH(F$4)&gt;=Assumptions!$B$5,1+Assumptions!$B$4,1),0)</f>
        <v>0</v>
      </c>
      <c r="G41" s="5">
        <f>IF(AND(INDEX(tblRoster[Start Date],$A41)&lt;=EOMONTH(G$4,0),OR(INDEX(tblRoster[End Date],$A41)="",INDEX(tblRoster[End Date],$A41)&gt;=G$4)),INDEX(tblRoster[Annual Salary],$A41)/12*(1+Assumptions!$B$3)*IF(MONTH(G$4)&gt;=Assumptions!$B$5,1+Assumptions!$B$4,1),0)</f>
        <v>0</v>
      </c>
      <c r="H41" s="5">
        <f>IF(AND(INDEX(tblRoster[Start Date],$A41)&lt;=EOMONTH(H$4,0),OR(INDEX(tblRoster[End Date],$A41)="",INDEX(tblRoster[End Date],$A41)&gt;=H$4)),INDEX(tblRoster[Annual Salary],$A41)/12*(1+Assumptions!$B$3)*IF(MONTH(H$4)&gt;=Assumptions!$B$5,1+Assumptions!$B$4,1),0)</f>
        <v>0</v>
      </c>
      <c r="I41" s="5">
        <f>IF(AND(INDEX(tblRoster[Start Date],$A41)&lt;=EOMONTH(I$4,0),OR(INDEX(tblRoster[End Date],$A41)="",INDEX(tblRoster[End Date],$A41)&gt;=I$4)),INDEX(tblRoster[Annual Salary],$A41)/12*(1+Assumptions!$B$3)*IF(MONTH(I$4)&gt;=Assumptions!$B$5,1+Assumptions!$B$4,1),0)</f>
        <v>0</v>
      </c>
      <c r="J41" s="5">
        <f>IF(AND(INDEX(tblRoster[Start Date],$A41)&lt;=EOMONTH(J$4,0),OR(INDEX(tblRoster[End Date],$A41)="",INDEX(tblRoster[End Date],$A41)&gt;=J$4)),INDEX(tblRoster[Annual Salary],$A41)/12*(1+Assumptions!$B$3)*IF(MONTH(J$4)&gt;=Assumptions!$B$5,1+Assumptions!$B$4,1),0)</f>
        <v>0</v>
      </c>
      <c r="K41" s="5">
        <f>IF(AND(INDEX(tblRoster[Start Date],$A41)&lt;=EOMONTH(K$4,0),OR(INDEX(tblRoster[End Date],$A41)="",INDEX(tblRoster[End Date],$A41)&gt;=K$4)),INDEX(tblRoster[Annual Salary],$A41)/12*(1+Assumptions!$B$3)*IF(MONTH(K$4)&gt;=Assumptions!$B$5,1+Assumptions!$B$4,1),0)</f>
        <v>14765.050000000001</v>
      </c>
      <c r="L41" s="5">
        <f>IF(AND(INDEX(tblRoster[Start Date],$A41)&lt;=EOMONTH(L$4,0),OR(INDEX(tblRoster[End Date],$A41)="",INDEX(tblRoster[End Date],$A41)&gt;=L$4)),INDEX(tblRoster[Annual Salary],$A41)/12*(1+Assumptions!$B$3)*IF(MONTH(L$4)&gt;=Assumptions!$B$5,1+Assumptions!$B$4,1),0)</f>
        <v>14765.050000000001</v>
      </c>
      <c r="M41" s="5">
        <f>IF(AND(INDEX(tblRoster[Start Date],$A41)&lt;=EOMONTH(M$4,0),OR(INDEX(tblRoster[End Date],$A41)="",INDEX(tblRoster[End Date],$A41)&gt;=M$4)),INDEX(tblRoster[Annual Salary],$A41)/12*(1+Assumptions!$B$3)*IF(MONTH(M$4)&gt;=Assumptions!$B$5,1+Assumptions!$B$4,1),0)</f>
        <v>14765.050000000001</v>
      </c>
      <c r="N41" s="5">
        <f>IF(AND(INDEX(tblRoster[Start Date],$A41)&lt;=EOMONTH(N$4,0),OR(INDEX(tblRoster[End Date],$A41)="",INDEX(tblRoster[End Date],$A41)&gt;=N$4)),INDEX(tblRoster[Annual Salary],$A41)/12*(1+Assumptions!$B$3)*IF(MONTH(N$4)&gt;=Assumptions!$B$5,1+Assumptions!$B$4,1),0)</f>
        <v>14765.050000000001</v>
      </c>
      <c r="O41" s="5">
        <f>IF(AND(INDEX(tblRoster[Start Date],$A41)&lt;=EOMONTH(O$4,0),OR(INDEX(tblRoster[End Date],$A41)="",INDEX(tblRoster[End Date],$A41)&gt;=O$4)),INDEX(tblRoster[Annual Salary],$A41)/12*(1+Assumptions!$B$3)*IF(MONTH(O$4)&gt;=Assumptions!$B$5,1+Assumptions!$B$4,1),0)</f>
        <v>14765.050000000001</v>
      </c>
      <c r="P41" s="5">
        <f>SUM(D41:O41)</f>
        <v>73825.25</v>
      </c>
    </row>
    <row r="42">
      <c r="A42" t="n">
        <v>38</v>
      </c>
      <c r="B42" t="str">
        <f>INDEX(tblRoster[Emp ID],$A42)</f>
        <v>E139</v>
      </c>
      <c r="C42" t="str">
        <f>INDEX(tblRoster[Department],$A42)</f>
        <v>G&amp;A</v>
      </c>
      <c r="D42" s="5">
        <f>IF(AND(INDEX(tblRoster[Start Date],$A42)&lt;=EOMONTH(D$4,0),OR(INDEX(tblRoster[End Date],$A42)="",INDEX(tblRoster[End Date],$A42)&gt;=D$4)),INDEX(tblRoster[Annual Salary],$A42)/12*(1+Assumptions!$B$3)*IF(MONTH(D$4)&gt;=Assumptions!$B$5,1+Assumptions!$B$4,1),0)</f>
        <v>0</v>
      </c>
      <c r="E42" s="5">
        <f>IF(AND(INDEX(tblRoster[Start Date],$A42)&lt;=EOMONTH(E$4,0),OR(INDEX(tblRoster[End Date],$A42)="",INDEX(tblRoster[End Date],$A42)&gt;=E$4)),INDEX(tblRoster[Annual Salary],$A42)/12*(1+Assumptions!$B$3)*IF(MONTH(E$4)&gt;=Assumptions!$B$5,1+Assumptions!$B$4,1),0)</f>
        <v>0</v>
      </c>
      <c r="F42" s="5">
        <f>IF(AND(INDEX(tblRoster[Start Date],$A42)&lt;=EOMONTH(F$4,0),OR(INDEX(tblRoster[End Date],$A42)="",INDEX(tblRoster[End Date],$A42)&gt;=F$4)),INDEX(tblRoster[Annual Salary],$A42)/12*(1+Assumptions!$B$3)*IF(MONTH(F$4)&gt;=Assumptions!$B$5,1+Assumptions!$B$4,1),0)</f>
        <v>0</v>
      </c>
      <c r="G42" s="5">
        <f>IF(AND(INDEX(tblRoster[Start Date],$A42)&lt;=EOMONTH(G$4,0),OR(INDEX(tblRoster[End Date],$A42)="",INDEX(tblRoster[End Date],$A42)&gt;=G$4)),INDEX(tblRoster[Annual Salary],$A42)/12*(1+Assumptions!$B$3)*IF(MONTH(G$4)&gt;=Assumptions!$B$5,1+Assumptions!$B$4,1),0)</f>
        <v>0</v>
      </c>
      <c r="H42" s="5">
        <f>IF(AND(INDEX(tblRoster[Start Date],$A42)&lt;=EOMONTH(H$4,0),OR(INDEX(tblRoster[End Date],$A42)="",INDEX(tblRoster[End Date],$A42)&gt;=H$4)),INDEX(tblRoster[Annual Salary],$A42)/12*(1+Assumptions!$B$3)*IF(MONTH(H$4)&gt;=Assumptions!$B$5,1+Assumptions!$B$4,1),0)</f>
        <v>0</v>
      </c>
      <c r="I42" s="5">
        <f>IF(AND(INDEX(tblRoster[Start Date],$A42)&lt;=EOMONTH(I$4,0),OR(INDEX(tblRoster[End Date],$A42)="",INDEX(tblRoster[End Date],$A42)&gt;=I$4)),INDEX(tblRoster[Annual Salary],$A42)/12*(1+Assumptions!$B$3)*IF(MONTH(I$4)&gt;=Assumptions!$B$5,1+Assumptions!$B$4,1),0)</f>
        <v>0</v>
      </c>
      <c r="J42" s="5">
        <f>IF(AND(INDEX(tblRoster[Start Date],$A42)&lt;=EOMONTH(J$4,0),OR(INDEX(tblRoster[End Date],$A42)="",INDEX(tblRoster[End Date],$A42)&gt;=J$4)),INDEX(tblRoster[Annual Salary],$A42)/12*(1+Assumptions!$B$3)*IF(MONTH(J$4)&gt;=Assumptions!$B$5,1+Assumptions!$B$4,1),0)</f>
        <v>0</v>
      </c>
      <c r="K42" s="5">
        <f>IF(AND(INDEX(tblRoster[Start Date],$A42)&lt;=EOMONTH(K$4,0),OR(INDEX(tblRoster[End Date],$A42)="",INDEX(tblRoster[End Date],$A42)&gt;=K$4)),INDEX(tblRoster[Annual Salary],$A42)/12*(1+Assumptions!$B$3)*IF(MONTH(K$4)&gt;=Assumptions!$B$5,1+Assumptions!$B$4,1),0)</f>
        <v>16859.38333333333</v>
      </c>
      <c r="L42" s="5">
        <f>IF(AND(INDEX(tblRoster[Start Date],$A42)&lt;=EOMONTH(L$4,0),OR(INDEX(tblRoster[End Date],$A42)="",INDEX(tblRoster[End Date],$A42)&gt;=L$4)),INDEX(tblRoster[Annual Salary],$A42)/12*(1+Assumptions!$B$3)*IF(MONTH(L$4)&gt;=Assumptions!$B$5,1+Assumptions!$B$4,1),0)</f>
        <v>16859.38333333333</v>
      </c>
      <c r="M42" s="5">
        <f>IF(AND(INDEX(tblRoster[Start Date],$A42)&lt;=EOMONTH(M$4,0),OR(INDEX(tblRoster[End Date],$A42)="",INDEX(tblRoster[End Date],$A42)&gt;=M$4)),INDEX(tblRoster[Annual Salary],$A42)/12*(1+Assumptions!$B$3)*IF(MONTH(M$4)&gt;=Assumptions!$B$5,1+Assumptions!$B$4,1),0)</f>
        <v>16859.38333333333</v>
      </c>
      <c r="N42" s="5">
        <f>IF(AND(INDEX(tblRoster[Start Date],$A42)&lt;=EOMONTH(N$4,0),OR(INDEX(tblRoster[End Date],$A42)="",INDEX(tblRoster[End Date],$A42)&gt;=N$4)),INDEX(tblRoster[Annual Salary],$A42)/12*(1+Assumptions!$B$3)*IF(MONTH(N$4)&gt;=Assumptions!$B$5,1+Assumptions!$B$4,1),0)</f>
        <v>16859.38333333333</v>
      </c>
      <c r="O42" s="5">
        <f>IF(AND(INDEX(tblRoster[Start Date],$A42)&lt;=EOMONTH(O$4,0),OR(INDEX(tblRoster[End Date],$A42)="",INDEX(tblRoster[End Date],$A42)&gt;=O$4)),INDEX(tblRoster[Annual Salary],$A42)/12*(1+Assumptions!$B$3)*IF(MONTH(O$4)&gt;=Assumptions!$B$5,1+Assumptions!$B$4,1),0)</f>
        <v>16859.38333333333</v>
      </c>
      <c r="P42" s="5">
        <f>SUM(D42:O42)</f>
        <v>84296.91666666666</v>
      </c>
    </row>
    <row r="43">
      <c r="A43" t="n">
        <v>39</v>
      </c>
      <c r="B43" t="str">
        <f>INDEX(tblRoster[Emp ID],$A43)</f>
        <v>E140</v>
      </c>
      <c r="C43" t="str">
        <f>INDEX(tblRoster[Department],$A43)</f>
        <v>Engineering</v>
      </c>
      <c r="D43" s="5">
        <f>IF(AND(INDEX(tblRoster[Start Date],$A43)&lt;=EOMONTH(D$4,0),OR(INDEX(tblRoster[End Date],$A43)="",INDEX(tblRoster[End Date],$A43)&gt;=D$4)),INDEX(tblRoster[Annual Salary],$A43)/12*(1+Assumptions!$B$3)*IF(MONTH(D$4)&gt;=Assumptions!$B$5,1+Assumptions!$B$4,1),0)</f>
        <v>0</v>
      </c>
      <c r="E43" s="5">
        <f>IF(AND(INDEX(tblRoster[Start Date],$A43)&lt;=EOMONTH(E$4,0),OR(INDEX(tblRoster[End Date],$A43)="",INDEX(tblRoster[End Date],$A43)&gt;=E$4)),INDEX(tblRoster[Annual Salary],$A43)/12*(1+Assumptions!$B$3)*IF(MONTH(E$4)&gt;=Assumptions!$B$5,1+Assumptions!$B$4,1),0)</f>
        <v>0</v>
      </c>
      <c r="F43" s="5">
        <f>IF(AND(INDEX(tblRoster[Start Date],$A43)&lt;=EOMONTH(F$4,0),OR(INDEX(tblRoster[End Date],$A43)="",INDEX(tblRoster[End Date],$A43)&gt;=F$4)),INDEX(tblRoster[Annual Salary],$A43)/12*(1+Assumptions!$B$3)*IF(MONTH(F$4)&gt;=Assumptions!$B$5,1+Assumptions!$B$4,1),0)</f>
        <v>0</v>
      </c>
      <c r="G43" s="5">
        <f>IF(AND(INDEX(tblRoster[Start Date],$A43)&lt;=EOMONTH(G$4,0),OR(INDEX(tblRoster[End Date],$A43)="",INDEX(tblRoster[End Date],$A43)&gt;=G$4)),INDEX(tblRoster[Annual Salary],$A43)/12*(1+Assumptions!$B$3)*IF(MONTH(G$4)&gt;=Assumptions!$B$5,1+Assumptions!$B$4,1),0)</f>
        <v>0</v>
      </c>
      <c r="H43" s="5">
        <f>IF(AND(INDEX(tblRoster[Start Date],$A43)&lt;=EOMONTH(H$4,0),OR(INDEX(tblRoster[End Date],$A43)="",INDEX(tblRoster[End Date],$A43)&gt;=H$4)),INDEX(tblRoster[Annual Salary],$A43)/12*(1+Assumptions!$B$3)*IF(MONTH(H$4)&gt;=Assumptions!$B$5,1+Assumptions!$B$4,1),0)</f>
        <v>0</v>
      </c>
      <c r="I43" s="5">
        <f>IF(AND(INDEX(tblRoster[Start Date],$A43)&lt;=EOMONTH(I$4,0),OR(INDEX(tblRoster[End Date],$A43)="",INDEX(tblRoster[End Date],$A43)&gt;=I$4)),INDEX(tblRoster[Annual Salary],$A43)/12*(1+Assumptions!$B$3)*IF(MONTH(I$4)&gt;=Assumptions!$B$5,1+Assumptions!$B$4,1),0)</f>
        <v>0</v>
      </c>
      <c r="J43" s="5">
        <f>IF(AND(INDEX(tblRoster[Start Date],$A43)&lt;=EOMONTH(J$4,0),OR(INDEX(tblRoster[End Date],$A43)="",INDEX(tblRoster[End Date],$A43)&gt;=J$4)),INDEX(tblRoster[Annual Salary],$A43)/12*(1+Assumptions!$B$3)*IF(MONTH(J$4)&gt;=Assumptions!$B$5,1+Assumptions!$B$4,1),0)</f>
        <v>0</v>
      </c>
      <c r="K43" s="5">
        <f>IF(AND(INDEX(tblRoster[Start Date],$A43)&lt;=EOMONTH(K$4,0),OR(INDEX(tblRoster[End Date],$A43)="",INDEX(tblRoster[End Date],$A43)&gt;=K$4)),INDEX(tblRoster[Annual Salary],$A43)/12*(1+Assumptions!$B$3)*IF(MONTH(K$4)&gt;=Assumptions!$B$5,1+Assumptions!$B$4,1),0)</f>
        <v>13508.45</v>
      </c>
      <c r="L43" s="5">
        <f>IF(AND(INDEX(tblRoster[Start Date],$A43)&lt;=EOMONTH(L$4,0),OR(INDEX(tblRoster[End Date],$A43)="",INDEX(tblRoster[End Date],$A43)&gt;=L$4)),INDEX(tblRoster[Annual Salary],$A43)/12*(1+Assumptions!$B$3)*IF(MONTH(L$4)&gt;=Assumptions!$B$5,1+Assumptions!$B$4,1),0)</f>
        <v>13508.45</v>
      </c>
      <c r="M43" s="5">
        <f>IF(AND(INDEX(tblRoster[Start Date],$A43)&lt;=EOMONTH(M$4,0),OR(INDEX(tblRoster[End Date],$A43)="",INDEX(tblRoster[End Date],$A43)&gt;=M$4)),INDEX(tblRoster[Annual Salary],$A43)/12*(1+Assumptions!$B$3)*IF(MONTH(M$4)&gt;=Assumptions!$B$5,1+Assumptions!$B$4,1),0)</f>
        <v>13508.45</v>
      </c>
      <c r="N43" s="5">
        <f>IF(AND(INDEX(tblRoster[Start Date],$A43)&lt;=EOMONTH(N$4,0),OR(INDEX(tblRoster[End Date],$A43)="",INDEX(tblRoster[End Date],$A43)&gt;=N$4)),INDEX(tblRoster[Annual Salary],$A43)/12*(1+Assumptions!$B$3)*IF(MONTH(N$4)&gt;=Assumptions!$B$5,1+Assumptions!$B$4,1),0)</f>
        <v>13508.45</v>
      </c>
      <c r="O43" s="5">
        <f>IF(AND(INDEX(tblRoster[Start Date],$A43)&lt;=EOMONTH(O$4,0),OR(INDEX(tblRoster[End Date],$A43)="",INDEX(tblRoster[End Date],$A43)&gt;=O$4)),INDEX(tblRoster[Annual Salary],$A43)/12*(1+Assumptions!$B$3)*IF(MONTH(O$4)&gt;=Assumptions!$B$5,1+Assumptions!$B$4,1),0)</f>
        <v>13508.45</v>
      </c>
      <c r="P43" s="5">
        <f>SUM(D43:O43)</f>
        <v>67542.25</v>
      </c>
    </row>
    <row r="44">
      <c r="A44" t="n">
        <v>40</v>
      </c>
      <c r="B44" t="str">
        <f>INDEX(tblRoster[Emp ID],$A44)</f>
        <v>E141</v>
      </c>
      <c r="C44" t="str">
        <f>INDEX(tblRoster[Department],$A44)</f>
        <v>Marketing</v>
      </c>
      <c r="D44" s="5">
        <f>IF(AND(INDEX(tblRoster[Start Date],$A44)&lt;=EOMONTH(D$4,0),OR(INDEX(tblRoster[End Date],$A44)="",INDEX(tblRoster[End Date],$A44)&gt;=D$4)),INDEX(tblRoster[Annual Salary],$A44)/12*(1+Assumptions!$B$3)*IF(MONTH(D$4)&gt;=Assumptions!$B$5,1+Assumptions!$B$4,1),0)</f>
        <v>0</v>
      </c>
      <c r="E44" s="5">
        <f>IF(AND(INDEX(tblRoster[Start Date],$A44)&lt;=EOMONTH(E$4,0),OR(INDEX(tblRoster[End Date],$A44)="",INDEX(tblRoster[End Date],$A44)&gt;=E$4)),INDEX(tblRoster[Annual Salary],$A44)/12*(1+Assumptions!$B$3)*IF(MONTH(E$4)&gt;=Assumptions!$B$5,1+Assumptions!$B$4,1),0)</f>
        <v>0</v>
      </c>
      <c r="F44" s="5">
        <f>IF(AND(INDEX(tblRoster[Start Date],$A44)&lt;=EOMONTH(F$4,0),OR(INDEX(tblRoster[End Date],$A44)="",INDEX(tblRoster[End Date],$A44)&gt;=F$4)),INDEX(tblRoster[Annual Salary],$A44)/12*(1+Assumptions!$B$3)*IF(MONTH(F$4)&gt;=Assumptions!$B$5,1+Assumptions!$B$4,1),0)</f>
        <v>11691.666666666668</v>
      </c>
      <c r="G44" s="5">
        <f>IF(AND(INDEX(tblRoster[Start Date],$A44)&lt;=EOMONTH(G$4,0),OR(INDEX(tblRoster[End Date],$A44)="",INDEX(tblRoster[End Date],$A44)&gt;=G$4)),INDEX(tblRoster[Annual Salary],$A44)/12*(1+Assumptions!$B$3)*IF(MONTH(G$4)&gt;=Assumptions!$B$5,1+Assumptions!$B$4,1),0)</f>
        <v>12042.416666666668</v>
      </c>
      <c r="H44" s="5">
        <f>IF(AND(INDEX(tblRoster[Start Date],$A44)&lt;=EOMONTH(H$4,0),OR(INDEX(tblRoster[End Date],$A44)="",INDEX(tblRoster[End Date],$A44)&gt;=H$4)),INDEX(tblRoster[Annual Salary],$A44)/12*(1+Assumptions!$B$3)*IF(MONTH(H$4)&gt;=Assumptions!$B$5,1+Assumptions!$B$4,1),0)</f>
        <v>12042.416666666668</v>
      </c>
      <c r="I44" s="5">
        <f>IF(AND(INDEX(tblRoster[Start Date],$A44)&lt;=EOMONTH(I$4,0),OR(INDEX(tblRoster[End Date],$A44)="",INDEX(tblRoster[End Date],$A44)&gt;=I$4)),INDEX(tblRoster[Annual Salary],$A44)/12*(1+Assumptions!$B$3)*IF(MONTH(I$4)&gt;=Assumptions!$B$5,1+Assumptions!$B$4,1),0)</f>
        <v>12042.416666666668</v>
      </c>
      <c r="J44" s="5">
        <f>IF(AND(INDEX(tblRoster[Start Date],$A44)&lt;=EOMONTH(J$4,0),OR(INDEX(tblRoster[End Date],$A44)="",INDEX(tblRoster[End Date],$A44)&gt;=J$4)),INDEX(tblRoster[Annual Salary],$A44)/12*(1+Assumptions!$B$3)*IF(MONTH(J$4)&gt;=Assumptions!$B$5,1+Assumptions!$B$4,1),0)</f>
        <v>12042.416666666668</v>
      </c>
      <c r="K44" s="5">
        <f>IF(AND(INDEX(tblRoster[Start Date],$A44)&lt;=EOMONTH(K$4,0),OR(INDEX(tblRoster[End Date],$A44)="",INDEX(tblRoster[End Date],$A44)&gt;=K$4)),INDEX(tblRoster[Annual Salary],$A44)/12*(1+Assumptions!$B$3)*IF(MONTH(K$4)&gt;=Assumptions!$B$5,1+Assumptions!$B$4,1),0)</f>
        <v>12042.416666666668</v>
      </c>
      <c r="L44" s="5">
        <f>IF(AND(INDEX(tblRoster[Start Date],$A44)&lt;=EOMONTH(L$4,0),OR(INDEX(tblRoster[End Date],$A44)="",INDEX(tblRoster[End Date],$A44)&gt;=L$4)),INDEX(tblRoster[Annual Salary],$A44)/12*(1+Assumptions!$B$3)*IF(MONTH(L$4)&gt;=Assumptions!$B$5,1+Assumptions!$B$4,1),0)</f>
        <v>12042.416666666668</v>
      </c>
      <c r="M44" s="5">
        <f>IF(AND(INDEX(tblRoster[Start Date],$A44)&lt;=EOMONTH(M$4,0),OR(INDEX(tblRoster[End Date],$A44)="",INDEX(tblRoster[End Date],$A44)&gt;=M$4)),INDEX(tblRoster[Annual Salary],$A44)/12*(1+Assumptions!$B$3)*IF(MONTH(M$4)&gt;=Assumptions!$B$5,1+Assumptions!$B$4,1),0)</f>
        <v>12042.416666666668</v>
      </c>
      <c r="N44" s="5">
        <f>IF(AND(INDEX(tblRoster[Start Date],$A44)&lt;=EOMONTH(N$4,0),OR(INDEX(tblRoster[End Date],$A44)="",INDEX(tblRoster[End Date],$A44)&gt;=N$4)),INDEX(tblRoster[Annual Salary],$A44)/12*(1+Assumptions!$B$3)*IF(MONTH(N$4)&gt;=Assumptions!$B$5,1+Assumptions!$B$4,1),0)</f>
        <v>12042.416666666668</v>
      </c>
      <c r="O44" s="5">
        <f>IF(AND(INDEX(tblRoster[Start Date],$A44)&lt;=EOMONTH(O$4,0),OR(INDEX(tblRoster[End Date],$A44)="",INDEX(tblRoster[End Date],$A44)&gt;=O$4)),INDEX(tblRoster[Annual Salary],$A44)/12*(1+Assumptions!$B$3)*IF(MONTH(O$4)&gt;=Assumptions!$B$5,1+Assumptions!$B$4,1),0)</f>
        <v>12042.416666666668</v>
      </c>
      <c r="P44" s="5">
        <f>SUM(D44:O44)</f>
        <v>120073.4166666667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Engineering</t>
        </is>
      </c>
      <c r="B2" t="n">
        <v>85000</v>
      </c>
      <c r="C2" t="n">
        <v>85000</v>
      </c>
      <c r="D2" t="n">
        <v>88000</v>
      </c>
      <c r="E2" t="n">
        <v>92000</v>
      </c>
      <c r="F2" t="n">
        <v>88000</v>
      </c>
      <c r="G2" t="n">
        <v>85000</v>
      </c>
      <c r="H2" t="n">
        <v>90000</v>
      </c>
      <c r="I2" t="n">
        <v>123000</v>
      </c>
      <c r="J2" t="n">
        <v>127000</v>
      </c>
      <c r="K2" t="n">
        <v>133000</v>
      </c>
      <c r="L2" t="n">
        <v>129000</v>
      </c>
      <c r="M2" t="n">
        <v>126000</v>
      </c>
    </row>
    <row r="3">
      <c r="A3" t="inlineStr">
        <is>
          <t>Sales</t>
        </is>
      </c>
      <c r="B3" t="n">
        <v>89000</v>
      </c>
      <c r="C3" t="n">
        <v>89000</v>
      </c>
      <c r="D3" t="n">
        <v>82000</v>
      </c>
      <c r="E3" t="n">
        <v>94000</v>
      </c>
      <c r="F3" t="n">
        <v>93000</v>
      </c>
      <c r="G3" t="n">
        <v>80000</v>
      </c>
      <c r="H3" t="n">
        <v>79000</v>
      </c>
      <c r="I3" t="n">
        <v>90000</v>
      </c>
      <c r="J3" t="n">
        <v>90000</v>
      </c>
      <c r="K3" t="n">
        <v>87000</v>
      </c>
      <c r="L3" t="n">
        <v>93000</v>
      </c>
      <c r="M3" t="n">
        <v>86000</v>
      </c>
    </row>
    <row r="4">
      <c r="A4" t="inlineStr">
        <is>
          <t>Marketing</t>
        </is>
      </c>
      <c r="B4" t="n">
        <v>89000</v>
      </c>
      <c r="C4" t="n">
        <v>90000</v>
      </c>
      <c r="D4" t="n">
        <v>101000</v>
      </c>
      <c r="E4" t="n">
        <v>126000</v>
      </c>
      <c r="F4" t="n">
        <v>121000</v>
      </c>
      <c r="G4" t="n">
        <v>120000</v>
      </c>
      <c r="H4" t="n">
        <v>123000</v>
      </c>
      <c r="I4" t="n">
        <v>122000</v>
      </c>
      <c r="J4" t="n">
        <v>126000</v>
      </c>
      <c r="K4" t="n">
        <v>111000</v>
      </c>
      <c r="L4" t="n">
        <v>123000</v>
      </c>
      <c r="M4" t="n">
        <v>119000</v>
      </c>
    </row>
    <row r="5">
      <c r="A5" t="inlineStr">
        <is>
          <t>G&amp;A</t>
        </is>
      </c>
      <c r="B5" t="n">
        <v>57000</v>
      </c>
      <c r="C5" t="n">
        <v>58000</v>
      </c>
      <c r="D5" t="n">
        <v>59000</v>
      </c>
      <c r="E5" t="n">
        <v>74000</v>
      </c>
      <c r="F5" t="n">
        <v>72000</v>
      </c>
      <c r="G5" t="n">
        <v>79000</v>
      </c>
      <c r="H5" t="n">
        <v>81000</v>
      </c>
      <c r="I5" t="n">
        <v>92000</v>
      </c>
      <c r="J5" t="n">
        <v>93000</v>
      </c>
      <c r="K5" t="n">
        <v>88000</v>
      </c>
      <c r="L5" t="n">
        <v>88000</v>
      </c>
      <c r="M5" t="n">
        <v>91000</v>
      </c>
    </row>
    <row r="6">
      <c r="A6" t="inlineStr">
        <is>
          <t>Support</t>
        </is>
      </c>
      <c r="B6" t="n">
        <v>94000</v>
      </c>
      <c r="C6" t="n">
        <v>101000</v>
      </c>
      <c r="D6" t="n">
        <v>92000</v>
      </c>
      <c r="E6" t="n">
        <v>93000</v>
      </c>
      <c r="F6" t="n">
        <v>105000</v>
      </c>
      <c r="G6" t="n">
        <v>100000</v>
      </c>
      <c r="H6" t="n">
        <v>95000</v>
      </c>
      <c r="I6" t="n">
        <v>100000</v>
      </c>
      <c r="J6" t="n">
        <v>93000</v>
      </c>
      <c r="K6" t="n">
        <v>96000</v>
      </c>
      <c r="L6" t="n">
        <v>101000</v>
      </c>
      <c r="M6" t="n">
        <v>100000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Plan vs Budget by Department</t>
        </is>
      </c>
    </row>
    <row r="3">
      <c r="A3" s="1" t="inlineStr">
        <is>
          <t>Department</t>
        </is>
      </c>
      <c r="B3" s="1" t="inlineStr">
        <is>
          <t>FY26 Plan</t>
        </is>
      </c>
      <c r="C3" s="1" t="inlineStr">
        <is>
          <t>FY26 Budget</t>
        </is>
      </c>
      <c r="D3" s="1" t="inlineStr">
        <is>
          <t>Variance</t>
        </is>
      </c>
      <c r="E3" s="1" t="inlineStr">
        <is>
          <t>Var %</t>
        </is>
      </c>
      <c r="F3" s="1" t="inlineStr">
        <is>
          <t>Dec Headcount</t>
        </is>
      </c>
    </row>
    <row r="4">
      <c r="A4" t="inlineStr">
        <is>
          <t>Engineering</t>
        </is>
      </c>
      <c r="B4" s="5">
        <f>SUMIFS('Monthly Cost'!$P:$P,'Monthly Cost'!$C:$C,$A4)</f>
        <v>1237257.9166666667</v>
      </c>
      <c r="C4" s="5">
        <f>SUM(INDEX(tblDeptBudget[[Jan]:[Dec]],MATCH($A4,tblDeptBudget[Department],0),0))</f>
        <v>1251000</v>
      </c>
      <c r="D4" s="5">
        <f>C4-B4</f>
        <v>13742.083333333256</v>
      </c>
      <c r="E4" s="6">
        <f>IFERROR(D4/C4,0)</f>
        <v>0.01098487876365568</v>
      </c>
      <c r="F4">
        <f>COUNTIFS('Monthly Cost'!$C:$C,$A4,'Monthly Cost'!$O:$O,"&gt;0")</f>
        <v>8</v>
      </c>
    </row>
    <row r="5">
      <c r="A5" t="inlineStr">
        <is>
          <t>Sales</t>
        </is>
      </c>
      <c r="B5" s="5">
        <f>SUMIFS('Monthly Cost'!$P:$P,'Monthly Cost'!$C:$C,$A5)</f>
        <v>1036293.4166666667</v>
      </c>
      <c r="C5" s="5">
        <f>SUM(INDEX(tblDeptBudget[[Jan]:[Dec]],MATCH($A5,tblDeptBudget[Department],0),0))</f>
        <v>1052000</v>
      </c>
      <c r="D5" s="5">
        <f>C5-B5</f>
        <v>15706.583333333256</v>
      </c>
      <c r="E5" s="6">
        <f>IFERROR(D5/C5,0)</f>
        <v>0.014930212294043019</v>
      </c>
      <c r="F5">
        <f>COUNTIFS('Monthly Cost'!$C:$C,$A5,'Monthly Cost'!$O:$O,"&gt;0")</f>
        <v>7</v>
      </c>
    </row>
    <row r="6">
      <c r="A6" t="inlineStr">
        <is>
          <t>Marketing</t>
        </is>
      </c>
      <c r="B6" s="5">
        <f>SUMIFS('Monthly Cost'!$P:$P,'Monthly Cost'!$C:$C,$A6)</f>
        <v>1394753.8166666667</v>
      </c>
      <c r="C6" s="5">
        <f>SUM(INDEX(tblDeptBudget[[Jan]:[Dec]],MATCH($A6,tblDeptBudget[Department],0),0))</f>
        <v>1371000</v>
      </c>
      <c r="D6" s="5">
        <f>C6-B6</f>
        <v>-23753.81666666665</v>
      </c>
      <c r="E6" s="6">
        <f>IFERROR(D6/C6,0)</f>
        <v>-0.017325905664964735</v>
      </c>
      <c r="F6">
        <f>COUNTIFS('Monthly Cost'!$C:$C,$A6,'Monthly Cost'!$O:$O,"&gt;0")</f>
        <v>7</v>
      </c>
    </row>
    <row r="7">
      <c r="A7" t="inlineStr">
        <is>
          <t>G&amp;A</t>
        </is>
      </c>
      <c r="B7" s="5">
        <f>SUMIFS('Monthly Cost'!$P:$P,'Monthly Cost'!$C:$C,$A7)</f>
        <v>933163.7666666667</v>
      </c>
      <c r="C7" s="5">
        <f>SUM(INDEX(tblDeptBudget[[Jan]:[Dec]],MATCH($A7,tblDeptBudget[Department],0),0))</f>
        <v>932000</v>
      </c>
      <c r="D7" s="5">
        <f>C7-B7</f>
        <v>-1163.766666666721</v>
      </c>
      <c r="E7" s="6">
        <f>IFERROR(D7/C7,0)</f>
        <v>-0.0012486766809728766</v>
      </c>
      <c r="F7">
        <f>COUNTIFS('Monthly Cost'!$C:$C,$A7,'Monthly Cost'!$O:$O,"&gt;0")</f>
        <v>8</v>
      </c>
    </row>
    <row r="8">
      <c r="A8" t="inlineStr">
        <is>
          <t>Support</t>
        </is>
      </c>
      <c r="B8" s="5">
        <f>SUMIFS('Monthly Cost'!$P:$P,'Monthly Cost'!$C:$C,$A8)</f>
        <v>1155056.35</v>
      </c>
      <c r="C8" s="5">
        <f>SUM(INDEX(tblDeptBudget[[Jan]:[Dec]],MATCH($A8,tblDeptBudget[Department],0),0))</f>
        <v>1170000</v>
      </c>
      <c r="D8" s="5">
        <f>C8-B8</f>
        <v>14943.649999999907</v>
      </c>
      <c r="E8" s="6">
        <f>IFERROR(D8/C8,0)</f>
        <v>0.012772350427350348</v>
      </c>
      <c r="F8">
        <f>COUNTIFS('Monthly Cost'!$C:$C,$A8,'Monthly Cost'!$O:$O,"&gt;0")</f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2026-10-20T15:39:10Z</dcterms:created>
  <dcterms:modified xsi:type="dcterms:W3CDTF">2026-10-20T15:39:10Z</dcterms:modified>
</cp:coreProperties>
</file>