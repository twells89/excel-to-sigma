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workbook.xml" ContentType="application/vnd.ms-excel.sheet.macroEnabled.main+xml"/>
  <Default Extension="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KUs" sheetId="1" state="visible" r:id="rId1"/>
    <sheet name="Demand" sheetId="2" state="visible" r:id="rId2"/>
    <sheet name="Projection" sheetId="3" state="visible" r:id="rId3"/>
    <sheet name="Snapshots" sheetId="4" state="visible" r:id="rId4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yyyy-mm-dd"/>
    <numFmt numFmtId="165" formatCode="mm/dd"/>
  </numFmts>
  <fonts count="2">
    <font>
      <name val="Calibri"/>
      <family val="2"/>
      <color theme="1"/>
      <sz val="11"/>
      <scheme val="minor"/>
    </font>
    <font>
      <b val="1"/>
    </font>
  </fonts>
  <fills count="3">
    <fill>
      <patternFill/>
    </fill>
    <fill>
      <patternFill patternType="gray125"/>
    </fill>
    <fill>
      <patternFill patternType="solid">
        <fgColor rgb="00DDE7F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pivotButton="0" quotePrefix="0" xfId="0"/>
    <xf numFmtId="0" fontId="1" fillId="2" borderId="0" pivotButton="0" quotePrefix="0" xfId="0"/>
    <xf numFmtId="164" fontId="0" fillId="0" borderId="0" pivotButton="0" quotePrefix="0" xfId="0"/>
    <xf numFmtId="0" fontId="1" fillId="0" borderId="0" pivotButton="0" quotePrefix="0" xfId="0"/>
    <xf numFmtId="165" fontId="1" fillId="2" borderId="0" pivotButton="0" quotePrefix="0" xfId="0"/>
    <xf numFmtId="3" fontId="0" fillId="0" borderId="0" pivotButton="0" quotePrefix="0" xfId="0"/>
  </cellXfs>
  <cellStyles count="1">
    <cellStyle name="Normal" xfId="0" builtinId="0" hidden="0"/>
  </cellStyles>
  <dxfs count="1">
    <dxf>
      <fill>
        <patternFill patternType="solid">
          <fgColor rgb="00F8CBAD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Id="rIdVBA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Minimum Projected Inventory vs Safety Stock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'Projection'!N3</f>
            </strRef>
          </tx>
          <spPr>
            <a:ln>
              <a:prstDash val="solid"/>
            </a:ln>
          </spPr>
          <cat>
            <numRef>
              <f>'Projection'!$A$4:$A$9</f>
            </numRef>
          </cat>
          <val>
            <numRef>
              <f>'Projection'!$N$4:$N$9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17</col>
      <colOff>0</colOff>
      <row>2</row>
      <rowOff>0</rowOff>
    </from>
    <ext cx="5400000" cy="27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ables/table1.xml><?xml version="1.0" encoding="utf-8"?>
<table xmlns="http://schemas.openxmlformats.org/spreadsheetml/2006/main" id="1" name="tblSKU" displayName="tblSKU" ref="A1:G7" headerRowCount="1">
  <autoFilter ref="A1:G7"/>
  <tableColumns count="7">
    <tableColumn id="1" name="SKU"/>
    <tableColumn id="2" name="Description"/>
    <tableColumn id="3" name="On Hand"/>
    <tableColumn id="4" name="Lead Time Wks"/>
    <tableColumn id="5" name="Safety Stock"/>
    <tableColumn id="6" name="Order Multiple"/>
    <tableColumn id="7" name="Unit Cost"/>
  </tableColumns>
  <tableStyleInfo name="TableStyleMedium2" showRowStripes="1"/>
</table>
</file>

<file path=xl/tables/table2.xml><?xml version="1.0" encoding="utf-8"?>
<table xmlns="http://schemas.openxmlformats.org/spreadsheetml/2006/main" id="2" name="tblDemand" displayName="tblDemand" ref="A1:D73" headerRowCount="1">
  <autoFilter ref="A1:D73"/>
  <tableColumns count="4">
    <tableColumn id="1" name="SKU"/>
    <tableColumn id="2" name="Week Start"/>
    <tableColumn id="3" name="Forecast Units"/>
    <tableColumn id="4" name="Planned Receipts"/>
  </tableColumns>
  <tableStyleInfo name="TableStyleMedium2" showRowStripes="1"/>
</table>
</file>

<file path=xl/tables/table3.xml><?xml version="1.0" encoding="utf-8"?>
<table xmlns="http://schemas.openxmlformats.org/spreadsheetml/2006/main" id="3" name="tblSnapshots" displayName="tblSnapshots" ref="A1:E2" headerRowCount="1">
  <autoFilter ref="A1:E2"/>
  <tableColumns count="5">
    <tableColumn id="1" name="Committed At"/>
    <tableColumn id="2" name="SKU"/>
    <tableColumn id="3" name="Week Start"/>
    <tableColumn id="4" name="Forecast Units"/>
    <tableColumn id="5" name="Committed By"/>
  </tableColumns>
  <tableStyleInfo name="TableStyleMedium2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G7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SKU</t>
        </is>
      </c>
      <c r="B1" s="1" t="inlineStr">
        <is>
          <t>Description</t>
        </is>
      </c>
      <c r="C1" s="1" t="inlineStr">
        <is>
          <t>On Hand</t>
        </is>
      </c>
      <c r="D1" s="1" t="inlineStr">
        <is>
          <t>Lead Time Wks</t>
        </is>
      </c>
      <c r="E1" s="1" t="inlineStr">
        <is>
          <t>Safety Stock</t>
        </is>
      </c>
      <c r="F1" s="1" t="inlineStr">
        <is>
          <t>Order Multiple</t>
        </is>
      </c>
      <c r="G1" s="1" t="inlineStr">
        <is>
          <t>Unit Cost</t>
        </is>
      </c>
    </row>
    <row r="2">
      <c r="A2" t="inlineStr">
        <is>
          <t>SKU-200</t>
        </is>
      </c>
      <c r="B2" t="inlineStr">
        <is>
          <t>Widget A</t>
        </is>
      </c>
      <c r="C2" t="n">
        <v>764</v>
      </c>
      <c r="D2" t="n">
        <v>3</v>
      </c>
      <c r="E2" t="n">
        <v>176</v>
      </c>
      <c r="F2" t="n">
        <v>25</v>
      </c>
      <c r="G2" t="n">
        <v>10.15</v>
      </c>
    </row>
    <row r="3">
      <c r="A3" t="inlineStr">
        <is>
          <t>SKU-300</t>
        </is>
      </c>
      <c r="B3" t="inlineStr">
        <is>
          <t>Widget B</t>
        </is>
      </c>
      <c r="C3" t="n">
        <v>389</v>
      </c>
      <c r="D3" t="n">
        <v>1</v>
      </c>
      <c r="E3" t="n">
        <v>115</v>
      </c>
      <c r="F3" t="n">
        <v>25</v>
      </c>
      <c r="G3" t="n">
        <v>33.02</v>
      </c>
    </row>
    <row r="4">
      <c r="A4" t="inlineStr">
        <is>
          <t>SKU-400</t>
        </is>
      </c>
      <c r="B4" t="inlineStr">
        <is>
          <t>Widget C</t>
        </is>
      </c>
      <c r="C4" t="n">
        <v>1337</v>
      </c>
      <c r="D4" t="n">
        <v>2</v>
      </c>
      <c r="E4" t="n">
        <v>182</v>
      </c>
      <c r="F4" t="n">
        <v>100</v>
      </c>
      <c r="G4" t="n">
        <v>4.12</v>
      </c>
    </row>
    <row r="5">
      <c r="A5" t="inlineStr">
        <is>
          <t>SKU-500</t>
        </is>
      </c>
      <c r="B5" t="inlineStr">
        <is>
          <t>Widget D</t>
        </is>
      </c>
      <c r="C5" t="n">
        <v>1298</v>
      </c>
      <c r="D5" t="n">
        <v>4</v>
      </c>
      <c r="E5" t="n">
        <v>179</v>
      </c>
      <c r="F5" t="n">
        <v>50</v>
      </c>
      <c r="G5" t="n">
        <v>24.21</v>
      </c>
    </row>
    <row r="6">
      <c r="A6" t="inlineStr">
        <is>
          <t>SKU-600</t>
        </is>
      </c>
      <c r="B6" t="inlineStr">
        <is>
          <t>Widget E</t>
        </is>
      </c>
      <c r="C6" t="n">
        <v>1124</v>
      </c>
      <c r="D6" t="n">
        <v>1</v>
      </c>
      <c r="E6" t="n">
        <v>204</v>
      </c>
      <c r="F6" t="n">
        <v>25</v>
      </c>
      <c r="G6" t="n">
        <v>31.08</v>
      </c>
    </row>
    <row r="7">
      <c r="A7" t="inlineStr">
        <is>
          <t>SKU-700</t>
        </is>
      </c>
      <c r="B7" t="inlineStr">
        <is>
          <t>Widget F</t>
        </is>
      </c>
      <c r="C7" t="n">
        <v>846</v>
      </c>
      <c r="D7" t="n">
        <v>4</v>
      </c>
      <c r="E7" t="n">
        <v>201</v>
      </c>
      <c r="F7" t="n">
        <v>50</v>
      </c>
      <c r="G7" t="n">
        <v>29.86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73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SKU</t>
        </is>
      </c>
      <c r="B1" s="1" t="inlineStr">
        <is>
          <t>Week Start</t>
        </is>
      </c>
      <c r="C1" s="1" t="inlineStr">
        <is>
          <t>Forecast Units</t>
        </is>
      </c>
      <c r="D1" s="1" t="inlineStr">
        <is>
          <t>Planned Receipts</t>
        </is>
      </c>
    </row>
    <row r="2">
      <c r="A2" t="inlineStr">
        <is>
          <t>SKU-200</t>
        </is>
      </c>
      <c r="B2" s="2" t="n">
        <v>46321</v>
      </c>
      <c r="C2" t="n">
        <v>209</v>
      </c>
      <c r="D2" t="n">
        <v>0</v>
      </c>
    </row>
    <row r="3">
      <c r="A3" t="inlineStr">
        <is>
          <t>SKU-200</t>
        </is>
      </c>
      <c r="B3" s="2" t="n">
        <v>46328</v>
      </c>
      <c r="C3" t="n">
        <v>106</v>
      </c>
      <c r="D3" t="n">
        <v>0</v>
      </c>
    </row>
    <row r="4">
      <c r="A4" t="inlineStr">
        <is>
          <t>SKU-200</t>
        </is>
      </c>
      <c r="B4" s="2" t="n">
        <v>46335</v>
      </c>
      <c r="C4" t="n">
        <v>64</v>
      </c>
      <c r="D4" t="n">
        <v>0</v>
      </c>
    </row>
    <row r="5">
      <c r="A5" t="inlineStr">
        <is>
          <t>SKU-200</t>
        </is>
      </c>
      <c r="B5" s="2" t="n">
        <v>46342</v>
      </c>
      <c r="C5" t="n">
        <v>56</v>
      </c>
      <c r="D5" t="n">
        <v>100</v>
      </c>
    </row>
    <row r="6">
      <c r="A6" t="inlineStr">
        <is>
          <t>SKU-200</t>
        </is>
      </c>
      <c r="B6" s="2" t="n">
        <v>46349</v>
      </c>
      <c r="C6" t="n">
        <v>138</v>
      </c>
      <c r="D6" t="n">
        <v>0</v>
      </c>
    </row>
    <row r="7">
      <c r="A7" t="inlineStr">
        <is>
          <t>SKU-200</t>
        </is>
      </c>
      <c r="B7" s="2" t="n">
        <v>46356</v>
      </c>
      <c r="C7" t="n">
        <v>198</v>
      </c>
      <c r="D7" t="n">
        <v>0</v>
      </c>
    </row>
    <row r="8">
      <c r="A8" t="inlineStr">
        <is>
          <t>SKU-200</t>
        </is>
      </c>
      <c r="B8" s="2" t="n">
        <v>46363</v>
      </c>
      <c r="C8" t="n">
        <v>136</v>
      </c>
      <c r="D8" t="n">
        <v>0</v>
      </c>
    </row>
    <row r="9">
      <c r="A9" t="inlineStr">
        <is>
          <t>SKU-200</t>
        </is>
      </c>
      <c r="B9" s="2" t="n">
        <v>46370</v>
      </c>
      <c r="C9" t="n">
        <v>67</v>
      </c>
      <c r="D9" t="n">
        <v>100</v>
      </c>
    </row>
    <row r="10">
      <c r="A10" t="inlineStr">
        <is>
          <t>SKU-200</t>
        </is>
      </c>
      <c r="B10" s="2" t="n">
        <v>46377</v>
      </c>
      <c r="C10" t="n">
        <v>209</v>
      </c>
      <c r="D10" t="n">
        <v>0</v>
      </c>
    </row>
    <row r="11">
      <c r="A11" t="inlineStr">
        <is>
          <t>SKU-200</t>
        </is>
      </c>
      <c r="B11" s="2" t="n">
        <v>46384</v>
      </c>
      <c r="C11" t="n">
        <v>54</v>
      </c>
      <c r="D11" t="n">
        <v>0</v>
      </c>
    </row>
    <row r="12">
      <c r="A12" t="inlineStr">
        <is>
          <t>SKU-200</t>
        </is>
      </c>
      <c r="B12" s="2" t="n">
        <v>46391</v>
      </c>
      <c r="C12" t="n">
        <v>126</v>
      </c>
      <c r="D12" t="n">
        <v>0</v>
      </c>
    </row>
    <row r="13">
      <c r="A13" t="inlineStr">
        <is>
          <t>SKU-200</t>
        </is>
      </c>
      <c r="B13" s="2" t="n">
        <v>46398</v>
      </c>
      <c r="C13" t="n">
        <v>100</v>
      </c>
      <c r="D13" t="n">
        <v>100</v>
      </c>
    </row>
    <row r="14">
      <c r="A14" t="inlineStr">
        <is>
          <t>SKU-300</t>
        </is>
      </c>
      <c r="B14" s="2" t="n">
        <v>46321</v>
      </c>
      <c r="C14" t="n">
        <v>216</v>
      </c>
      <c r="D14" t="n">
        <v>0</v>
      </c>
    </row>
    <row r="15">
      <c r="A15" t="inlineStr">
        <is>
          <t>SKU-300</t>
        </is>
      </c>
      <c r="B15" s="2" t="n">
        <v>46328</v>
      </c>
      <c r="C15" t="n">
        <v>62</v>
      </c>
      <c r="D15" t="n">
        <v>0</v>
      </c>
    </row>
    <row r="16">
      <c r="A16" t="inlineStr">
        <is>
          <t>SKU-300</t>
        </is>
      </c>
      <c r="B16" s="2" t="n">
        <v>46335</v>
      </c>
      <c r="C16" t="n">
        <v>167</v>
      </c>
      <c r="D16" t="n">
        <v>0</v>
      </c>
    </row>
    <row r="17">
      <c r="A17" t="inlineStr">
        <is>
          <t>SKU-300</t>
        </is>
      </c>
      <c r="B17" s="2" t="n">
        <v>46342</v>
      </c>
      <c r="C17" t="n">
        <v>206</v>
      </c>
      <c r="D17" t="n">
        <v>100</v>
      </c>
    </row>
    <row r="18">
      <c r="A18" t="inlineStr">
        <is>
          <t>SKU-300</t>
        </is>
      </c>
      <c r="B18" s="2" t="n">
        <v>46349</v>
      </c>
      <c r="C18" t="n">
        <v>172</v>
      </c>
      <c r="D18" t="n">
        <v>0</v>
      </c>
    </row>
    <row r="19">
      <c r="A19" t="inlineStr">
        <is>
          <t>SKU-300</t>
        </is>
      </c>
      <c r="B19" s="2" t="n">
        <v>46356</v>
      </c>
      <c r="C19" t="n">
        <v>93</v>
      </c>
      <c r="D19" t="n">
        <v>0</v>
      </c>
    </row>
    <row r="20">
      <c r="A20" t="inlineStr">
        <is>
          <t>SKU-300</t>
        </is>
      </c>
      <c r="B20" s="2" t="n">
        <v>46363</v>
      </c>
      <c r="C20" t="n">
        <v>188</v>
      </c>
      <c r="D20" t="n">
        <v>0</v>
      </c>
    </row>
    <row r="21">
      <c r="A21" t="inlineStr">
        <is>
          <t>SKU-300</t>
        </is>
      </c>
      <c r="B21" s="2" t="n">
        <v>46370</v>
      </c>
      <c r="C21" t="n">
        <v>76</v>
      </c>
      <c r="D21" t="n">
        <v>100</v>
      </c>
    </row>
    <row r="22">
      <c r="A22" t="inlineStr">
        <is>
          <t>SKU-300</t>
        </is>
      </c>
      <c r="B22" s="2" t="n">
        <v>46377</v>
      </c>
      <c r="C22" t="n">
        <v>195</v>
      </c>
      <c r="D22" t="n">
        <v>0</v>
      </c>
    </row>
    <row r="23">
      <c r="A23" t="inlineStr">
        <is>
          <t>SKU-300</t>
        </is>
      </c>
      <c r="B23" s="2" t="n">
        <v>46384</v>
      </c>
      <c r="C23" t="n">
        <v>56</v>
      </c>
      <c r="D23" t="n">
        <v>0</v>
      </c>
    </row>
    <row r="24">
      <c r="A24" t="inlineStr">
        <is>
          <t>SKU-300</t>
        </is>
      </c>
      <c r="B24" s="2" t="n">
        <v>46391</v>
      </c>
      <c r="C24" t="n">
        <v>178</v>
      </c>
      <c r="D24" t="n">
        <v>0</v>
      </c>
    </row>
    <row r="25">
      <c r="A25" t="inlineStr">
        <is>
          <t>SKU-300</t>
        </is>
      </c>
      <c r="B25" s="2" t="n">
        <v>46398</v>
      </c>
      <c r="C25" t="n">
        <v>49</v>
      </c>
      <c r="D25" t="n">
        <v>100</v>
      </c>
    </row>
    <row r="26">
      <c r="A26" t="inlineStr">
        <is>
          <t>SKU-400</t>
        </is>
      </c>
      <c r="B26" s="2" t="n">
        <v>46321</v>
      </c>
      <c r="C26" t="n">
        <v>165</v>
      </c>
      <c r="D26" t="n">
        <v>0</v>
      </c>
    </row>
    <row r="27">
      <c r="A27" t="inlineStr">
        <is>
          <t>SKU-400</t>
        </is>
      </c>
      <c r="B27" s="2" t="n">
        <v>46328</v>
      </c>
      <c r="C27" t="n">
        <v>219</v>
      </c>
      <c r="D27" t="n">
        <v>0</v>
      </c>
    </row>
    <row r="28">
      <c r="A28" t="inlineStr">
        <is>
          <t>SKU-400</t>
        </is>
      </c>
      <c r="B28" s="2" t="n">
        <v>46335</v>
      </c>
      <c r="C28" t="n">
        <v>89</v>
      </c>
      <c r="D28" t="n">
        <v>0</v>
      </c>
    </row>
    <row r="29">
      <c r="A29" t="inlineStr">
        <is>
          <t>SKU-400</t>
        </is>
      </c>
      <c r="B29" s="2" t="n">
        <v>46342</v>
      </c>
      <c r="C29" t="n">
        <v>77</v>
      </c>
      <c r="D29" t="n">
        <v>400</v>
      </c>
    </row>
    <row r="30">
      <c r="A30" t="inlineStr">
        <is>
          <t>SKU-400</t>
        </is>
      </c>
      <c r="B30" s="2" t="n">
        <v>46349</v>
      </c>
      <c r="C30" t="n">
        <v>188</v>
      </c>
      <c r="D30" t="n">
        <v>0</v>
      </c>
    </row>
    <row r="31">
      <c r="A31" t="inlineStr">
        <is>
          <t>SKU-400</t>
        </is>
      </c>
      <c r="B31" s="2" t="n">
        <v>46356</v>
      </c>
      <c r="C31" t="n">
        <v>156</v>
      </c>
      <c r="D31" t="n">
        <v>0</v>
      </c>
    </row>
    <row r="32">
      <c r="A32" t="inlineStr">
        <is>
          <t>SKU-400</t>
        </is>
      </c>
      <c r="B32" s="2" t="n">
        <v>46363</v>
      </c>
      <c r="C32" t="n">
        <v>189</v>
      </c>
      <c r="D32" t="n">
        <v>0</v>
      </c>
    </row>
    <row r="33">
      <c r="A33" t="inlineStr">
        <is>
          <t>SKU-400</t>
        </is>
      </c>
      <c r="B33" s="2" t="n">
        <v>46370</v>
      </c>
      <c r="C33" t="n">
        <v>153</v>
      </c>
      <c r="D33" t="n">
        <v>400</v>
      </c>
    </row>
    <row r="34">
      <c r="A34" t="inlineStr">
        <is>
          <t>SKU-400</t>
        </is>
      </c>
      <c r="B34" s="2" t="n">
        <v>46377</v>
      </c>
      <c r="C34" t="n">
        <v>113</v>
      </c>
      <c r="D34" t="n">
        <v>0</v>
      </c>
    </row>
    <row r="35">
      <c r="A35" t="inlineStr">
        <is>
          <t>SKU-400</t>
        </is>
      </c>
      <c r="B35" s="2" t="n">
        <v>46384</v>
      </c>
      <c r="C35" t="n">
        <v>182</v>
      </c>
      <c r="D35" t="n">
        <v>0</v>
      </c>
    </row>
    <row r="36">
      <c r="A36" t="inlineStr">
        <is>
          <t>SKU-400</t>
        </is>
      </c>
      <c r="B36" s="2" t="n">
        <v>46391</v>
      </c>
      <c r="C36" t="n">
        <v>131</v>
      </c>
      <c r="D36" t="n">
        <v>0</v>
      </c>
    </row>
    <row r="37">
      <c r="A37" t="inlineStr">
        <is>
          <t>SKU-400</t>
        </is>
      </c>
      <c r="B37" s="2" t="n">
        <v>46398</v>
      </c>
      <c r="C37" t="n">
        <v>149</v>
      </c>
      <c r="D37" t="n">
        <v>400</v>
      </c>
    </row>
    <row r="38">
      <c r="A38" t="inlineStr">
        <is>
          <t>SKU-500</t>
        </is>
      </c>
      <c r="B38" s="2" t="n">
        <v>46321</v>
      </c>
      <c r="C38" t="n">
        <v>74</v>
      </c>
      <c r="D38" t="n">
        <v>0</v>
      </c>
    </row>
    <row r="39">
      <c r="A39" t="inlineStr">
        <is>
          <t>SKU-500</t>
        </is>
      </c>
      <c r="B39" s="2" t="n">
        <v>46328</v>
      </c>
      <c r="C39" t="n">
        <v>80</v>
      </c>
      <c r="D39" t="n">
        <v>0</v>
      </c>
    </row>
    <row r="40">
      <c r="A40" t="inlineStr">
        <is>
          <t>SKU-500</t>
        </is>
      </c>
      <c r="B40" s="2" t="n">
        <v>46335</v>
      </c>
      <c r="C40" t="n">
        <v>193</v>
      </c>
      <c r="D40" t="n">
        <v>0</v>
      </c>
    </row>
    <row r="41">
      <c r="A41" t="inlineStr">
        <is>
          <t>SKU-500</t>
        </is>
      </c>
      <c r="B41" s="2" t="n">
        <v>46342</v>
      </c>
      <c r="C41" t="n">
        <v>64</v>
      </c>
      <c r="D41" t="n">
        <v>200</v>
      </c>
    </row>
    <row r="42">
      <c r="A42" t="inlineStr">
        <is>
          <t>SKU-500</t>
        </is>
      </c>
      <c r="B42" s="2" t="n">
        <v>46349</v>
      </c>
      <c r="C42" t="n">
        <v>176</v>
      </c>
      <c r="D42" t="n">
        <v>0</v>
      </c>
    </row>
    <row r="43">
      <c r="A43" t="inlineStr">
        <is>
          <t>SKU-500</t>
        </is>
      </c>
      <c r="B43" s="2" t="n">
        <v>46356</v>
      </c>
      <c r="C43" t="n">
        <v>216</v>
      </c>
      <c r="D43" t="n">
        <v>0</v>
      </c>
    </row>
    <row r="44">
      <c r="A44" t="inlineStr">
        <is>
          <t>SKU-500</t>
        </is>
      </c>
      <c r="B44" s="2" t="n">
        <v>46363</v>
      </c>
      <c r="C44" t="n">
        <v>120</v>
      </c>
      <c r="D44" t="n">
        <v>0</v>
      </c>
    </row>
    <row r="45">
      <c r="A45" t="inlineStr">
        <is>
          <t>SKU-500</t>
        </is>
      </c>
      <c r="B45" s="2" t="n">
        <v>46370</v>
      </c>
      <c r="C45" t="n">
        <v>219</v>
      </c>
      <c r="D45" t="n">
        <v>200</v>
      </c>
    </row>
    <row r="46">
      <c r="A46" t="inlineStr">
        <is>
          <t>SKU-500</t>
        </is>
      </c>
      <c r="B46" s="2" t="n">
        <v>46377</v>
      </c>
      <c r="C46" t="n">
        <v>131</v>
      </c>
      <c r="D46" t="n">
        <v>0</v>
      </c>
    </row>
    <row r="47">
      <c r="A47" t="inlineStr">
        <is>
          <t>SKU-500</t>
        </is>
      </c>
      <c r="B47" s="2" t="n">
        <v>46384</v>
      </c>
      <c r="C47" t="n">
        <v>204</v>
      </c>
      <c r="D47" t="n">
        <v>0</v>
      </c>
    </row>
    <row r="48">
      <c r="A48" t="inlineStr">
        <is>
          <t>SKU-500</t>
        </is>
      </c>
      <c r="B48" s="2" t="n">
        <v>46391</v>
      </c>
      <c r="C48" t="n">
        <v>166</v>
      </c>
      <c r="D48" t="n">
        <v>0</v>
      </c>
    </row>
    <row r="49">
      <c r="A49" t="inlineStr">
        <is>
          <t>SKU-500</t>
        </is>
      </c>
      <c r="B49" s="2" t="n">
        <v>46398</v>
      </c>
      <c r="C49" t="n">
        <v>168</v>
      </c>
      <c r="D49" t="n">
        <v>200</v>
      </c>
    </row>
    <row r="50">
      <c r="A50" t="inlineStr">
        <is>
          <t>SKU-600</t>
        </is>
      </c>
      <c r="B50" s="2" t="n">
        <v>46321</v>
      </c>
      <c r="C50" t="n">
        <v>199</v>
      </c>
      <c r="D50" t="n">
        <v>0</v>
      </c>
    </row>
    <row r="51">
      <c r="A51" t="inlineStr">
        <is>
          <t>SKU-600</t>
        </is>
      </c>
      <c r="B51" s="2" t="n">
        <v>46328</v>
      </c>
      <c r="C51" t="n">
        <v>90</v>
      </c>
      <c r="D51" t="n">
        <v>0</v>
      </c>
    </row>
    <row r="52">
      <c r="A52" t="inlineStr">
        <is>
          <t>SKU-600</t>
        </is>
      </c>
      <c r="B52" s="2" t="n">
        <v>46335</v>
      </c>
      <c r="C52" t="n">
        <v>119</v>
      </c>
      <c r="D52" t="n">
        <v>0</v>
      </c>
    </row>
    <row r="53">
      <c r="A53" t="inlineStr">
        <is>
          <t>SKU-600</t>
        </is>
      </c>
      <c r="B53" s="2" t="n">
        <v>46342</v>
      </c>
      <c r="C53" t="n">
        <v>78</v>
      </c>
      <c r="D53" t="n">
        <v>100</v>
      </c>
    </row>
    <row r="54">
      <c r="A54" t="inlineStr">
        <is>
          <t>SKU-600</t>
        </is>
      </c>
      <c r="B54" s="2" t="n">
        <v>46349</v>
      </c>
      <c r="C54" t="n">
        <v>131</v>
      </c>
      <c r="D54" t="n">
        <v>0</v>
      </c>
    </row>
    <row r="55">
      <c r="A55" t="inlineStr">
        <is>
          <t>SKU-600</t>
        </is>
      </c>
      <c r="B55" s="2" t="n">
        <v>46356</v>
      </c>
      <c r="C55" t="n">
        <v>175</v>
      </c>
      <c r="D55" t="n">
        <v>0</v>
      </c>
    </row>
    <row r="56">
      <c r="A56" t="inlineStr">
        <is>
          <t>SKU-600</t>
        </is>
      </c>
      <c r="B56" s="2" t="n">
        <v>46363</v>
      </c>
      <c r="C56" t="n">
        <v>112</v>
      </c>
      <c r="D56" t="n">
        <v>0</v>
      </c>
    </row>
    <row r="57">
      <c r="A57" t="inlineStr">
        <is>
          <t>SKU-600</t>
        </is>
      </c>
      <c r="B57" s="2" t="n">
        <v>46370</v>
      </c>
      <c r="C57" t="n">
        <v>170</v>
      </c>
      <c r="D57" t="n">
        <v>100</v>
      </c>
    </row>
    <row r="58">
      <c r="A58" t="inlineStr">
        <is>
          <t>SKU-600</t>
        </is>
      </c>
      <c r="B58" s="2" t="n">
        <v>46377</v>
      </c>
      <c r="C58" t="n">
        <v>208</v>
      </c>
      <c r="D58" t="n">
        <v>0</v>
      </c>
    </row>
    <row r="59">
      <c r="A59" t="inlineStr">
        <is>
          <t>SKU-600</t>
        </is>
      </c>
      <c r="B59" s="2" t="n">
        <v>46384</v>
      </c>
      <c r="C59" t="n">
        <v>58</v>
      </c>
      <c r="D59" t="n">
        <v>0</v>
      </c>
    </row>
    <row r="60">
      <c r="A60" t="inlineStr">
        <is>
          <t>SKU-600</t>
        </is>
      </c>
      <c r="B60" s="2" t="n">
        <v>46391</v>
      </c>
      <c r="C60" t="n">
        <v>169</v>
      </c>
      <c r="D60" t="n">
        <v>0</v>
      </c>
    </row>
    <row r="61">
      <c r="A61" t="inlineStr">
        <is>
          <t>SKU-600</t>
        </is>
      </c>
      <c r="B61" s="2" t="n">
        <v>46398</v>
      </c>
      <c r="C61" t="n">
        <v>219</v>
      </c>
      <c r="D61" t="n">
        <v>100</v>
      </c>
    </row>
    <row r="62">
      <c r="A62" t="inlineStr">
        <is>
          <t>SKU-700</t>
        </is>
      </c>
      <c r="B62" s="2" t="n">
        <v>46321</v>
      </c>
      <c r="C62" t="n">
        <v>179</v>
      </c>
      <c r="D62" t="n">
        <v>0</v>
      </c>
    </row>
    <row r="63">
      <c r="A63" t="inlineStr">
        <is>
          <t>SKU-700</t>
        </is>
      </c>
      <c r="B63" s="2" t="n">
        <v>46328</v>
      </c>
      <c r="C63" t="n">
        <v>96</v>
      </c>
      <c r="D63" t="n">
        <v>0</v>
      </c>
    </row>
    <row r="64">
      <c r="A64" t="inlineStr">
        <is>
          <t>SKU-700</t>
        </is>
      </c>
      <c r="B64" s="2" t="n">
        <v>46335</v>
      </c>
      <c r="C64" t="n">
        <v>128</v>
      </c>
      <c r="D64" t="n">
        <v>0</v>
      </c>
    </row>
    <row r="65">
      <c r="A65" t="inlineStr">
        <is>
          <t>SKU-700</t>
        </is>
      </c>
      <c r="B65" s="2" t="n">
        <v>46342</v>
      </c>
      <c r="C65" t="n">
        <v>102</v>
      </c>
      <c r="D65" t="n">
        <v>200</v>
      </c>
    </row>
    <row r="66">
      <c r="A66" t="inlineStr">
        <is>
          <t>SKU-700</t>
        </is>
      </c>
      <c r="B66" s="2" t="n">
        <v>46349</v>
      </c>
      <c r="C66" t="n">
        <v>43</v>
      </c>
      <c r="D66" t="n">
        <v>0</v>
      </c>
    </row>
    <row r="67">
      <c r="A67" t="inlineStr">
        <is>
          <t>SKU-700</t>
        </is>
      </c>
      <c r="B67" s="2" t="n">
        <v>46356</v>
      </c>
      <c r="C67" t="n">
        <v>115</v>
      </c>
      <c r="D67" t="n">
        <v>0</v>
      </c>
    </row>
    <row r="68">
      <c r="A68" t="inlineStr">
        <is>
          <t>SKU-700</t>
        </is>
      </c>
      <c r="B68" s="2" t="n">
        <v>46363</v>
      </c>
      <c r="C68" t="n">
        <v>127</v>
      </c>
      <c r="D68" t="n">
        <v>0</v>
      </c>
    </row>
    <row r="69">
      <c r="A69" t="inlineStr">
        <is>
          <t>SKU-700</t>
        </is>
      </c>
      <c r="B69" s="2" t="n">
        <v>46370</v>
      </c>
      <c r="C69" t="n">
        <v>96</v>
      </c>
      <c r="D69" t="n">
        <v>200</v>
      </c>
    </row>
    <row r="70">
      <c r="A70" t="inlineStr">
        <is>
          <t>SKU-700</t>
        </is>
      </c>
      <c r="B70" s="2" t="n">
        <v>46377</v>
      </c>
      <c r="C70" t="n">
        <v>108</v>
      </c>
      <c r="D70" t="n">
        <v>0</v>
      </c>
    </row>
    <row r="71">
      <c r="A71" t="inlineStr">
        <is>
          <t>SKU-700</t>
        </is>
      </c>
      <c r="B71" s="2" t="n">
        <v>46384</v>
      </c>
      <c r="C71" t="n">
        <v>48</v>
      </c>
      <c r="D71" t="n">
        <v>0</v>
      </c>
    </row>
    <row r="72">
      <c r="A72" t="inlineStr">
        <is>
          <t>SKU-700</t>
        </is>
      </c>
      <c r="B72" s="2" t="n">
        <v>46391</v>
      </c>
      <c r="C72" t="n">
        <v>148</v>
      </c>
      <c r="D72" t="n">
        <v>0</v>
      </c>
    </row>
    <row r="73">
      <c r="A73" t="inlineStr">
        <is>
          <t>SKU-700</t>
        </is>
      </c>
      <c r="B73" s="2" t="n">
        <v>46398</v>
      </c>
      <c r="C73" t="n">
        <v>105</v>
      </c>
      <c r="D73" t="n">
        <v>200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P9"/>
  <sheetViews>
    <sheetView workbookViewId="0">
      <selection activeCell="A1" sqref="A1"/>
    </sheetView>
  </sheetViews>
  <sheetFormatPr baseColWidth="8" defaultRowHeight="15"/>
  <sheetData>
    <row r="1">
      <c r="A1" s="3" t="inlineStr">
        <is>
          <t>Projected ending inventory by week</t>
        </is>
      </c>
    </row>
    <row r="3">
      <c r="A3" s="1" t="inlineStr">
        <is>
          <t>SKU</t>
        </is>
      </c>
      <c r="B3" s="4" t="n">
        <v>46321</v>
      </c>
      <c r="C3" s="4" t="n">
        <v>46328</v>
      </c>
      <c r="D3" s="4" t="n">
        <v>46335</v>
      </c>
      <c r="E3" s="4" t="n">
        <v>46342</v>
      </c>
      <c r="F3" s="4" t="n">
        <v>46349</v>
      </c>
      <c r="G3" s="4" t="n">
        <v>46356</v>
      </c>
      <c r="H3" s="4" t="n">
        <v>46363</v>
      </c>
      <c r="I3" s="4" t="n">
        <v>46370</v>
      </c>
      <c r="J3" s="4" t="n">
        <v>46377</v>
      </c>
      <c r="K3" s="4" t="n">
        <v>46384</v>
      </c>
      <c r="L3" s="4" t="n">
        <v>46391</v>
      </c>
      <c r="M3" s="4" t="n">
        <v>46398</v>
      </c>
      <c r="N3" s="1" t="inlineStr">
        <is>
          <t>Min Proj</t>
        </is>
      </c>
      <c r="O3" s="1" t="inlineStr">
        <is>
          <t>Reorder?</t>
        </is>
      </c>
      <c r="P3" s="1" t="inlineStr">
        <is>
          <t>Suggested Qty</t>
        </is>
      </c>
    </row>
    <row r="4">
      <c r="A4" t="inlineStr">
        <is>
          <t>SKU-200</t>
        </is>
      </c>
      <c r="B4" s="5">
        <f>INDEX(tblSKU[On Hand],MATCH($A4,tblSKU[SKU],0))-SUMIFS(tblDemand[Forecast Units],tblDemand[SKU],$A4,tblDemand[Week Start],B$3)+SUMIFS(tblDemand[Planned Receipts],tblDemand[SKU],$A4,tblDemand[Week Start],B$3)</f>
        <v>555</v>
      </c>
      <c r="C4" s="5">
        <f>B4-SUMIFS(tblDemand[Forecast Units],tblDemand[SKU],$A4,tblDemand[Week Start],C$3)+SUMIFS(tblDemand[Planned Receipts],tblDemand[SKU],$A4,tblDemand[Week Start],C$3)</f>
        <v>449</v>
      </c>
      <c r="D4" s="5">
        <f>C4-SUMIFS(tblDemand[Forecast Units],tblDemand[SKU],$A4,tblDemand[Week Start],D$3)+SUMIFS(tblDemand[Planned Receipts],tblDemand[SKU],$A4,tblDemand[Week Start],D$3)</f>
        <v>385</v>
      </c>
      <c r="E4" s="5">
        <f>D4-SUMIFS(tblDemand[Forecast Units],tblDemand[SKU],$A4,tblDemand[Week Start],E$3)+SUMIFS(tblDemand[Planned Receipts],tblDemand[SKU],$A4,tblDemand[Week Start],E$3)</f>
        <v>429</v>
      </c>
      <c r="F4" s="5">
        <f>E4-SUMIFS(tblDemand[Forecast Units],tblDemand[SKU],$A4,tblDemand[Week Start],F$3)+SUMIFS(tblDemand[Planned Receipts],tblDemand[SKU],$A4,tblDemand[Week Start],F$3)</f>
        <v>291</v>
      </c>
      <c r="G4" s="5">
        <f>F4-SUMIFS(tblDemand[Forecast Units],tblDemand[SKU],$A4,tblDemand[Week Start],G$3)+SUMIFS(tblDemand[Planned Receipts],tblDemand[SKU],$A4,tblDemand[Week Start],G$3)</f>
        <v>93</v>
      </c>
      <c r="H4" s="5">
        <f>G4-SUMIFS(tblDemand[Forecast Units],tblDemand[SKU],$A4,tblDemand[Week Start],H$3)+SUMIFS(tblDemand[Planned Receipts],tblDemand[SKU],$A4,tblDemand[Week Start],H$3)</f>
        <v>-43</v>
      </c>
      <c r="I4" s="5">
        <f>H4-SUMIFS(tblDemand[Forecast Units],tblDemand[SKU],$A4,tblDemand[Week Start],I$3)+SUMIFS(tblDemand[Planned Receipts],tblDemand[SKU],$A4,tblDemand[Week Start],I$3)</f>
        <v>-10</v>
      </c>
      <c r="J4" s="5">
        <f>I4-SUMIFS(tblDemand[Forecast Units],tblDemand[SKU],$A4,tblDemand[Week Start],J$3)+SUMIFS(tblDemand[Planned Receipts],tblDemand[SKU],$A4,tblDemand[Week Start],J$3)</f>
        <v>-219</v>
      </c>
      <c r="K4" s="5">
        <f>J4-SUMIFS(tblDemand[Forecast Units],tblDemand[SKU],$A4,tblDemand[Week Start],K$3)+SUMIFS(tblDemand[Planned Receipts],tblDemand[SKU],$A4,tblDemand[Week Start],K$3)</f>
        <v>-273</v>
      </c>
      <c r="L4" s="5">
        <f>K4-SUMIFS(tblDemand[Forecast Units],tblDemand[SKU],$A4,tblDemand[Week Start],L$3)+SUMIFS(tblDemand[Planned Receipts],tblDemand[SKU],$A4,tblDemand[Week Start],L$3)</f>
        <v>-399</v>
      </c>
      <c r="M4" s="5">
        <f>L4-SUMIFS(tblDemand[Forecast Units],tblDemand[SKU],$A4,tblDemand[Week Start],M$3)+SUMIFS(tblDemand[Planned Receipts],tblDemand[SKU],$A4,tblDemand[Week Start],M$3)</f>
        <v>-399</v>
      </c>
      <c r="N4" s="5">
        <f>MIN(B4:M4)</f>
        <v>-399</v>
      </c>
      <c r="O4" t="str">
        <f>IF(N4&lt;INDEX(tblSKU[Safety Stock],MATCH($A4,tblSKU[SKU],0)),"ORDER","")</f>
        <v>ORDER</v>
      </c>
      <c r="P4" s="5">
        <f>IF(O4="ORDER",CEILING(INDEX(tblSKU[Safety Stock],MATCH($A4,tblSKU[SKU],0))-N4,INDEX(tblSKU[Order Multiple],MATCH($A4,tblSKU[SKU],0))),0)</f>
        <v>575</v>
      </c>
    </row>
    <row r="5">
      <c r="A5" t="inlineStr">
        <is>
          <t>SKU-300</t>
        </is>
      </c>
      <c r="B5" s="5">
        <f>INDEX(tblSKU[On Hand],MATCH($A5,tblSKU[SKU],0))-SUMIFS(tblDemand[Forecast Units],tblDemand[SKU],$A5,tblDemand[Week Start],B$3)+SUMIFS(tblDemand[Planned Receipts],tblDemand[SKU],$A5,tblDemand[Week Start],B$3)</f>
        <v>173</v>
      </c>
      <c r="C5" s="5">
        <f>B5-SUMIFS(tblDemand[Forecast Units],tblDemand[SKU],$A5,tblDemand[Week Start],C$3)+SUMIFS(tblDemand[Planned Receipts],tblDemand[SKU],$A5,tblDemand[Week Start],C$3)</f>
        <v>111</v>
      </c>
      <c r="D5" s="5">
        <f>C5-SUMIFS(tblDemand[Forecast Units],tblDemand[SKU],$A5,tblDemand[Week Start],D$3)+SUMIFS(tblDemand[Planned Receipts],tblDemand[SKU],$A5,tblDemand[Week Start],D$3)</f>
        <v>-56</v>
      </c>
      <c r="E5" s="5">
        <f>D5-SUMIFS(tblDemand[Forecast Units],tblDemand[SKU],$A5,tblDemand[Week Start],E$3)+SUMIFS(tblDemand[Planned Receipts],tblDemand[SKU],$A5,tblDemand[Week Start],E$3)</f>
        <v>-162</v>
      </c>
      <c r="F5" s="5">
        <f>E5-SUMIFS(tblDemand[Forecast Units],tblDemand[SKU],$A5,tblDemand[Week Start],F$3)+SUMIFS(tblDemand[Planned Receipts],tblDemand[SKU],$A5,tblDemand[Week Start],F$3)</f>
        <v>-334</v>
      </c>
      <c r="G5" s="5">
        <f>F5-SUMIFS(tblDemand[Forecast Units],tblDemand[SKU],$A5,tblDemand[Week Start],G$3)+SUMIFS(tblDemand[Planned Receipts],tblDemand[SKU],$A5,tblDemand[Week Start],G$3)</f>
        <v>-427</v>
      </c>
      <c r="H5" s="5">
        <f>G5-SUMIFS(tblDemand[Forecast Units],tblDemand[SKU],$A5,tblDemand[Week Start],H$3)+SUMIFS(tblDemand[Planned Receipts],tblDemand[SKU],$A5,tblDemand[Week Start],H$3)</f>
        <v>-615</v>
      </c>
      <c r="I5" s="5">
        <f>H5-SUMIFS(tblDemand[Forecast Units],tblDemand[SKU],$A5,tblDemand[Week Start],I$3)+SUMIFS(tblDemand[Planned Receipts],tblDemand[SKU],$A5,tblDemand[Week Start],I$3)</f>
        <v>-591</v>
      </c>
      <c r="J5" s="5">
        <f>I5-SUMIFS(tblDemand[Forecast Units],tblDemand[SKU],$A5,tblDemand[Week Start],J$3)+SUMIFS(tblDemand[Planned Receipts],tblDemand[SKU],$A5,tblDemand[Week Start],J$3)</f>
        <v>-786</v>
      </c>
      <c r="K5" s="5">
        <f>J5-SUMIFS(tblDemand[Forecast Units],tblDemand[SKU],$A5,tblDemand[Week Start],K$3)+SUMIFS(tblDemand[Planned Receipts],tblDemand[SKU],$A5,tblDemand[Week Start],K$3)</f>
        <v>-842</v>
      </c>
      <c r="L5" s="5">
        <f>K5-SUMIFS(tblDemand[Forecast Units],tblDemand[SKU],$A5,tblDemand[Week Start],L$3)+SUMIFS(tblDemand[Planned Receipts],tblDemand[SKU],$A5,tblDemand[Week Start],L$3)</f>
        <v>-1020</v>
      </c>
      <c r="M5" s="5">
        <f>L5-SUMIFS(tblDemand[Forecast Units],tblDemand[SKU],$A5,tblDemand[Week Start],M$3)+SUMIFS(tblDemand[Planned Receipts],tblDemand[SKU],$A5,tblDemand[Week Start],M$3)</f>
        <v>-969</v>
      </c>
      <c r="N5" s="5">
        <f>MIN(B5:M5)</f>
        <v>-1020</v>
      </c>
      <c r="O5" t="str">
        <f>IF(N5&lt;INDEX(tblSKU[Safety Stock],MATCH($A5,tblSKU[SKU],0)),"ORDER","")</f>
        <v>ORDER</v>
      </c>
      <c r="P5" s="5">
        <f>IF(O5="ORDER",CEILING(INDEX(tblSKU[Safety Stock],MATCH($A5,tblSKU[SKU],0))-N5,INDEX(tblSKU[Order Multiple],MATCH($A5,tblSKU[SKU],0))),0)</f>
        <v>1150</v>
      </c>
    </row>
    <row r="6">
      <c r="A6" t="inlineStr">
        <is>
          <t>SKU-400</t>
        </is>
      </c>
      <c r="B6" s="5">
        <f>INDEX(tblSKU[On Hand],MATCH($A6,tblSKU[SKU],0))-SUMIFS(tblDemand[Forecast Units],tblDemand[SKU],$A6,tblDemand[Week Start],B$3)+SUMIFS(tblDemand[Planned Receipts],tblDemand[SKU],$A6,tblDemand[Week Start],B$3)</f>
        <v>1172</v>
      </c>
      <c r="C6" s="5">
        <f>B6-SUMIFS(tblDemand[Forecast Units],tblDemand[SKU],$A6,tblDemand[Week Start],C$3)+SUMIFS(tblDemand[Planned Receipts],tblDemand[SKU],$A6,tblDemand[Week Start],C$3)</f>
        <v>953</v>
      </c>
      <c r="D6" s="5">
        <f>C6-SUMIFS(tblDemand[Forecast Units],tblDemand[SKU],$A6,tblDemand[Week Start],D$3)+SUMIFS(tblDemand[Planned Receipts],tblDemand[SKU],$A6,tblDemand[Week Start],D$3)</f>
        <v>864</v>
      </c>
      <c r="E6" s="5">
        <f>D6-SUMIFS(tblDemand[Forecast Units],tblDemand[SKU],$A6,tblDemand[Week Start],E$3)+SUMIFS(tblDemand[Planned Receipts],tblDemand[SKU],$A6,tblDemand[Week Start],E$3)</f>
        <v>1187</v>
      </c>
      <c r="F6" s="5">
        <f>E6-SUMIFS(tblDemand[Forecast Units],tblDemand[SKU],$A6,tblDemand[Week Start],F$3)+SUMIFS(tblDemand[Planned Receipts],tblDemand[SKU],$A6,tblDemand[Week Start],F$3)</f>
        <v>999</v>
      </c>
      <c r="G6" s="5">
        <f>F6-SUMIFS(tblDemand[Forecast Units],tblDemand[SKU],$A6,tblDemand[Week Start],G$3)+SUMIFS(tblDemand[Planned Receipts],tblDemand[SKU],$A6,tblDemand[Week Start],G$3)</f>
        <v>843</v>
      </c>
      <c r="H6" s="5">
        <f>G6-SUMIFS(tblDemand[Forecast Units],tblDemand[SKU],$A6,tblDemand[Week Start],H$3)+SUMIFS(tblDemand[Planned Receipts],tblDemand[SKU],$A6,tblDemand[Week Start],H$3)</f>
        <v>654</v>
      </c>
      <c r="I6" s="5">
        <f>H6-SUMIFS(tblDemand[Forecast Units],tblDemand[SKU],$A6,tblDemand[Week Start],I$3)+SUMIFS(tblDemand[Planned Receipts],tblDemand[SKU],$A6,tblDemand[Week Start],I$3)</f>
        <v>901</v>
      </c>
      <c r="J6" s="5">
        <f>I6-SUMIFS(tblDemand[Forecast Units],tblDemand[SKU],$A6,tblDemand[Week Start],J$3)+SUMIFS(tblDemand[Planned Receipts],tblDemand[SKU],$A6,tblDemand[Week Start],J$3)</f>
        <v>788</v>
      </c>
      <c r="K6" s="5">
        <f>J6-SUMIFS(tblDemand[Forecast Units],tblDemand[SKU],$A6,tblDemand[Week Start],K$3)+SUMIFS(tblDemand[Planned Receipts],tblDemand[SKU],$A6,tblDemand[Week Start],K$3)</f>
        <v>606</v>
      </c>
      <c r="L6" s="5">
        <f>K6-SUMIFS(tblDemand[Forecast Units],tblDemand[SKU],$A6,tblDemand[Week Start],L$3)+SUMIFS(tblDemand[Planned Receipts],tblDemand[SKU],$A6,tblDemand[Week Start],L$3)</f>
        <v>475</v>
      </c>
      <c r="M6" s="5">
        <f>L6-SUMIFS(tblDemand[Forecast Units],tblDemand[SKU],$A6,tblDemand[Week Start],M$3)+SUMIFS(tblDemand[Planned Receipts],tblDemand[SKU],$A6,tblDemand[Week Start],M$3)</f>
        <v>726</v>
      </c>
      <c r="N6" s="5">
        <f>MIN(B6:M6)</f>
        <v>475</v>
      </c>
      <c r="O6" t="str">
        <f>IF(N6&lt;INDEX(tblSKU[Safety Stock],MATCH($A6,tblSKU[SKU],0)),"ORDER","")</f>
        <v/>
      </c>
      <c r="P6" s="5">
        <f>IF(O6="ORDER",CEILING(INDEX(tblSKU[Safety Stock],MATCH($A6,tblSKU[SKU],0))-N6,INDEX(tblSKU[Order Multiple],MATCH($A6,tblSKU[SKU],0))),0)</f>
        <v>0</v>
      </c>
    </row>
    <row r="7">
      <c r="A7" t="inlineStr">
        <is>
          <t>SKU-500</t>
        </is>
      </c>
      <c r="B7" s="5">
        <f>INDEX(tblSKU[On Hand],MATCH($A7,tblSKU[SKU],0))-SUMIFS(tblDemand[Forecast Units],tblDemand[SKU],$A7,tblDemand[Week Start],B$3)+SUMIFS(tblDemand[Planned Receipts],tblDemand[SKU],$A7,tblDemand[Week Start],B$3)</f>
        <v>1224</v>
      </c>
      <c r="C7" s="5">
        <f>B7-SUMIFS(tblDemand[Forecast Units],tblDemand[SKU],$A7,tblDemand[Week Start],C$3)+SUMIFS(tblDemand[Planned Receipts],tblDemand[SKU],$A7,tblDemand[Week Start],C$3)</f>
        <v>1144</v>
      </c>
      <c r="D7" s="5">
        <f>C7-SUMIFS(tblDemand[Forecast Units],tblDemand[SKU],$A7,tblDemand[Week Start],D$3)+SUMIFS(tblDemand[Planned Receipts],tblDemand[SKU],$A7,tblDemand[Week Start],D$3)</f>
        <v>951</v>
      </c>
      <c r="E7" s="5">
        <f>D7-SUMIFS(tblDemand[Forecast Units],tblDemand[SKU],$A7,tblDemand[Week Start],E$3)+SUMIFS(tblDemand[Planned Receipts],tblDemand[SKU],$A7,tblDemand[Week Start],E$3)</f>
        <v>1087</v>
      </c>
      <c r="F7" s="5">
        <f>E7-SUMIFS(tblDemand[Forecast Units],tblDemand[SKU],$A7,tblDemand[Week Start],F$3)+SUMIFS(tblDemand[Planned Receipts],tblDemand[SKU],$A7,tblDemand[Week Start],F$3)</f>
        <v>911</v>
      </c>
      <c r="G7" s="5">
        <f>F7-SUMIFS(tblDemand[Forecast Units],tblDemand[SKU],$A7,tblDemand[Week Start],G$3)+SUMIFS(tblDemand[Planned Receipts],tblDemand[SKU],$A7,tblDemand[Week Start],G$3)</f>
        <v>695</v>
      </c>
      <c r="H7" s="5">
        <f>G7-SUMIFS(tblDemand[Forecast Units],tblDemand[SKU],$A7,tblDemand[Week Start],H$3)+SUMIFS(tblDemand[Planned Receipts],tblDemand[SKU],$A7,tblDemand[Week Start],H$3)</f>
        <v>575</v>
      </c>
      <c r="I7" s="5">
        <f>H7-SUMIFS(tblDemand[Forecast Units],tblDemand[SKU],$A7,tblDemand[Week Start],I$3)+SUMIFS(tblDemand[Planned Receipts],tblDemand[SKU],$A7,tblDemand[Week Start],I$3)</f>
        <v>556</v>
      </c>
      <c r="J7" s="5">
        <f>I7-SUMIFS(tblDemand[Forecast Units],tblDemand[SKU],$A7,tblDemand[Week Start],J$3)+SUMIFS(tblDemand[Planned Receipts],tblDemand[SKU],$A7,tblDemand[Week Start],J$3)</f>
        <v>425</v>
      </c>
      <c r="K7" s="5">
        <f>J7-SUMIFS(tblDemand[Forecast Units],tblDemand[SKU],$A7,tblDemand[Week Start],K$3)+SUMIFS(tblDemand[Planned Receipts],tblDemand[SKU],$A7,tblDemand[Week Start],K$3)</f>
        <v>221</v>
      </c>
      <c r="L7" s="5">
        <f>K7-SUMIFS(tblDemand[Forecast Units],tblDemand[SKU],$A7,tblDemand[Week Start],L$3)+SUMIFS(tblDemand[Planned Receipts],tblDemand[SKU],$A7,tblDemand[Week Start],L$3)</f>
        <v>55</v>
      </c>
      <c r="M7" s="5">
        <f>L7-SUMIFS(tblDemand[Forecast Units],tblDemand[SKU],$A7,tblDemand[Week Start],M$3)+SUMIFS(tblDemand[Planned Receipts],tblDemand[SKU],$A7,tblDemand[Week Start],M$3)</f>
        <v>87</v>
      </c>
      <c r="N7" s="5">
        <f>MIN(B7:M7)</f>
        <v>55</v>
      </c>
      <c r="O7" t="str">
        <f>IF(N7&lt;INDEX(tblSKU[Safety Stock],MATCH($A7,tblSKU[SKU],0)),"ORDER","")</f>
        <v>ORDER</v>
      </c>
      <c r="P7" s="5">
        <f>IF(O7="ORDER",CEILING(INDEX(tblSKU[Safety Stock],MATCH($A7,tblSKU[SKU],0))-N7,INDEX(tblSKU[Order Multiple],MATCH($A7,tblSKU[SKU],0))),0)</f>
        <v>150</v>
      </c>
    </row>
    <row r="8">
      <c r="A8" t="inlineStr">
        <is>
          <t>SKU-600</t>
        </is>
      </c>
      <c r="B8" s="5">
        <f>INDEX(tblSKU[On Hand],MATCH($A8,tblSKU[SKU],0))-SUMIFS(tblDemand[Forecast Units],tblDemand[SKU],$A8,tblDemand[Week Start],B$3)+SUMIFS(tblDemand[Planned Receipts],tblDemand[SKU],$A8,tblDemand[Week Start],B$3)</f>
        <v>925</v>
      </c>
      <c r="C8" s="5">
        <f>B8-SUMIFS(tblDemand[Forecast Units],tblDemand[SKU],$A8,tblDemand[Week Start],C$3)+SUMIFS(tblDemand[Planned Receipts],tblDemand[SKU],$A8,tblDemand[Week Start],C$3)</f>
        <v>835</v>
      </c>
      <c r="D8" s="5">
        <f>C8-SUMIFS(tblDemand[Forecast Units],tblDemand[SKU],$A8,tblDemand[Week Start],D$3)+SUMIFS(tblDemand[Planned Receipts],tblDemand[SKU],$A8,tblDemand[Week Start],D$3)</f>
        <v>716</v>
      </c>
      <c r="E8" s="5">
        <f>D8-SUMIFS(tblDemand[Forecast Units],tblDemand[SKU],$A8,tblDemand[Week Start],E$3)+SUMIFS(tblDemand[Planned Receipts],tblDemand[SKU],$A8,tblDemand[Week Start],E$3)</f>
        <v>738</v>
      </c>
      <c r="F8" s="5">
        <f>E8-SUMIFS(tblDemand[Forecast Units],tblDemand[SKU],$A8,tblDemand[Week Start],F$3)+SUMIFS(tblDemand[Planned Receipts],tblDemand[SKU],$A8,tblDemand[Week Start],F$3)</f>
        <v>607</v>
      </c>
      <c r="G8" s="5">
        <f>F8-SUMIFS(tblDemand[Forecast Units],tblDemand[SKU],$A8,tblDemand[Week Start],G$3)+SUMIFS(tblDemand[Planned Receipts],tblDemand[SKU],$A8,tblDemand[Week Start],G$3)</f>
        <v>432</v>
      </c>
      <c r="H8" s="5">
        <f>G8-SUMIFS(tblDemand[Forecast Units],tblDemand[SKU],$A8,tblDemand[Week Start],H$3)+SUMIFS(tblDemand[Planned Receipts],tblDemand[SKU],$A8,tblDemand[Week Start],H$3)</f>
        <v>320</v>
      </c>
      <c r="I8" s="5">
        <f>H8-SUMIFS(tblDemand[Forecast Units],tblDemand[SKU],$A8,tblDemand[Week Start],I$3)+SUMIFS(tblDemand[Planned Receipts],tblDemand[SKU],$A8,tblDemand[Week Start],I$3)</f>
        <v>250</v>
      </c>
      <c r="J8" s="5">
        <f>I8-SUMIFS(tblDemand[Forecast Units],tblDemand[SKU],$A8,tblDemand[Week Start],J$3)+SUMIFS(tblDemand[Planned Receipts],tblDemand[SKU],$A8,tblDemand[Week Start],J$3)</f>
        <v>42</v>
      </c>
      <c r="K8" s="5">
        <f>J8-SUMIFS(tblDemand[Forecast Units],tblDemand[SKU],$A8,tblDemand[Week Start],K$3)+SUMIFS(tblDemand[Planned Receipts],tblDemand[SKU],$A8,tblDemand[Week Start],K$3)</f>
        <v>-16</v>
      </c>
      <c r="L8" s="5">
        <f>K8-SUMIFS(tblDemand[Forecast Units],tblDemand[SKU],$A8,tblDemand[Week Start],L$3)+SUMIFS(tblDemand[Planned Receipts],tblDemand[SKU],$A8,tblDemand[Week Start],L$3)</f>
        <v>-185</v>
      </c>
      <c r="M8" s="5">
        <f>L8-SUMIFS(tblDemand[Forecast Units],tblDemand[SKU],$A8,tblDemand[Week Start],M$3)+SUMIFS(tblDemand[Planned Receipts],tblDemand[SKU],$A8,tblDemand[Week Start],M$3)</f>
        <v>-304</v>
      </c>
      <c r="N8" s="5">
        <f>MIN(B8:M8)</f>
        <v>-304</v>
      </c>
      <c r="O8" t="str">
        <f>IF(N8&lt;INDEX(tblSKU[Safety Stock],MATCH($A8,tblSKU[SKU],0)),"ORDER","")</f>
        <v>ORDER</v>
      </c>
      <c r="P8" s="5">
        <f>IF(O8="ORDER",CEILING(INDEX(tblSKU[Safety Stock],MATCH($A8,tblSKU[SKU],0))-N8,INDEX(tblSKU[Order Multiple],MATCH($A8,tblSKU[SKU],0))),0)</f>
        <v>525</v>
      </c>
    </row>
    <row r="9">
      <c r="A9" t="inlineStr">
        <is>
          <t>SKU-700</t>
        </is>
      </c>
      <c r="B9" s="5">
        <f>INDEX(tblSKU[On Hand],MATCH($A9,tblSKU[SKU],0))-SUMIFS(tblDemand[Forecast Units],tblDemand[SKU],$A9,tblDemand[Week Start],B$3)+SUMIFS(tblDemand[Planned Receipts],tblDemand[SKU],$A9,tblDemand[Week Start],B$3)</f>
        <v>667</v>
      </c>
      <c r="C9" s="5">
        <f>B9-SUMIFS(tblDemand[Forecast Units],tblDemand[SKU],$A9,tblDemand[Week Start],C$3)+SUMIFS(tblDemand[Planned Receipts],tblDemand[SKU],$A9,tblDemand[Week Start],C$3)</f>
        <v>571</v>
      </c>
      <c r="D9" s="5">
        <f>C9-SUMIFS(tblDemand[Forecast Units],tblDemand[SKU],$A9,tblDemand[Week Start],D$3)+SUMIFS(tblDemand[Planned Receipts],tblDemand[SKU],$A9,tblDemand[Week Start],D$3)</f>
        <v>443</v>
      </c>
      <c r="E9" s="5">
        <f>D9-SUMIFS(tblDemand[Forecast Units],tblDemand[SKU],$A9,tblDemand[Week Start],E$3)+SUMIFS(tblDemand[Planned Receipts],tblDemand[SKU],$A9,tblDemand[Week Start],E$3)</f>
        <v>541</v>
      </c>
      <c r="F9" s="5">
        <f>E9-SUMIFS(tblDemand[Forecast Units],tblDemand[SKU],$A9,tblDemand[Week Start],F$3)+SUMIFS(tblDemand[Planned Receipts],tblDemand[SKU],$A9,tblDemand[Week Start],F$3)</f>
        <v>498</v>
      </c>
      <c r="G9" s="5">
        <f>F9-SUMIFS(tblDemand[Forecast Units],tblDemand[SKU],$A9,tblDemand[Week Start],G$3)+SUMIFS(tblDemand[Planned Receipts],tblDemand[SKU],$A9,tblDemand[Week Start],G$3)</f>
        <v>383</v>
      </c>
      <c r="H9" s="5">
        <f>G9-SUMIFS(tblDemand[Forecast Units],tblDemand[SKU],$A9,tblDemand[Week Start],H$3)+SUMIFS(tblDemand[Planned Receipts],tblDemand[SKU],$A9,tblDemand[Week Start],H$3)</f>
        <v>256</v>
      </c>
      <c r="I9" s="5">
        <f>H9-SUMIFS(tblDemand[Forecast Units],tblDemand[SKU],$A9,tblDemand[Week Start],I$3)+SUMIFS(tblDemand[Planned Receipts],tblDemand[SKU],$A9,tblDemand[Week Start],I$3)</f>
        <v>360</v>
      </c>
      <c r="J9" s="5">
        <f>I9-SUMIFS(tblDemand[Forecast Units],tblDemand[SKU],$A9,tblDemand[Week Start],J$3)+SUMIFS(tblDemand[Planned Receipts],tblDemand[SKU],$A9,tblDemand[Week Start],J$3)</f>
        <v>252</v>
      </c>
      <c r="K9" s="5">
        <f>J9-SUMIFS(tblDemand[Forecast Units],tblDemand[SKU],$A9,tblDemand[Week Start],K$3)+SUMIFS(tblDemand[Planned Receipts],tblDemand[SKU],$A9,tblDemand[Week Start],K$3)</f>
        <v>204</v>
      </c>
      <c r="L9" s="5">
        <f>K9-SUMIFS(tblDemand[Forecast Units],tblDemand[SKU],$A9,tblDemand[Week Start],L$3)+SUMIFS(tblDemand[Planned Receipts],tblDemand[SKU],$A9,tblDemand[Week Start],L$3)</f>
        <v>56</v>
      </c>
      <c r="M9" s="5">
        <f>L9-SUMIFS(tblDemand[Forecast Units],tblDemand[SKU],$A9,tblDemand[Week Start],M$3)+SUMIFS(tblDemand[Planned Receipts],tblDemand[SKU],$A9,tblDemand[Week Start],M$3)</f>
        <v>151</v>
      </c>
      <c r="N9" s="5">
        <f>MIN(B9:M9)</f>
        <v>56</v>
      </c>
      <c r="O9" t="str">
        <f>IF(N9&lt;INDEX(tblSKU[Safety Stock],MATCH($A9,tblSKU[SKU],0)),"ORDER","")</f>
        <v>ORDER</v>
      </c>
      <c r="P9" s="5">
        <f>IF(O9="ORDER",CEILING(INDEX(tblSKU[Safety Stock],MATCH($A9,tblSKU[SKU],0))-N9,INDEX(tblSKU[Order Multiple],MATCH($A9,tblSKU[SKU],0))),0)</f>
        <v>150</v>
      </c>
    </row>
  </sheetData>
  <conditionalFormatting sqref="O4:O9">
    <cfRule type="cellIs" priority="1" operator="equal" dxfId="0">
      <formula>"ORDER"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1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Committed At</t>
        </is>
      </c>
      <c r="B1" s="1" t="inlineStr">
        <is>
          <t>SKU</t>
        </is>
      </c>
      <c r="C1" s="1" t="inlineStr">
        <is>
          <t>Week Start</t>
        </is>
      </c>
      <c r="D1" s="1" t="inlineStr">
        <is>
          <t>Forecast Units</t>
        </is>
      </c>
      <c r="E1" s="1" t="inlineStr">
        <is>
          <t>Committed By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2026-10-20T15:39:10Z</dcterms:created>
  <dcterms:modified xsi:type="dcterms:W3CDTF">2026-10-20T15:39:10Z</dcterms:modified>
</cp:coreProperties>
</file>