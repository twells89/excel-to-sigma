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0a94b54d4947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f93341a40d74f02"/>
    <x:sheet xmlns:r="http://schemas.openxmlformats.org/officeDocument/2006/relationships" name="Inventory" sheetId="2" r:id="Rd745000b720e4281"/>
    <x:sheet xmlns:r="http://schemas.openxmlformats.org/officeDocument/2006/relationships" name="Purchase Plan" sheetId="3" r:id="R1d3188010b3544e1"/>
    <x:sheet xmlns:r="http://schemas.openxmlformats.org/officeDocument/2006/relationships" name="Suppliers" sheetId="4" r:id="R7a0710e6824549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"/>
    <x:numFmt numFmtId="201" formatCode="$#,##0.00"/>
    <x:numFmt numFmtId="202" formatCode="#,##0.0"/>
    <x:numFmt numFmtId="203" formatCode="0"/>
  </x:numFmts>
  <x:fonts count="5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  <x:font>
      <x:b/>
      <x:sz val="15"/>
      <x:color rgb="FF17365D"/>
      <x:name val="Arial"/>
    </x:font>
    <x:font>
      <x:b/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3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/>
      <x:bottom style="thin">
        <x:color rgb="FF2F75B5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4" fillId="0" borderId="2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0" borderId="2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e7712d1f1e445d" /><Relationship Type="http://schemas.openxmlformats.org/officeDocument/2006/relationships/theme" Target="/xl/theme/theme1.xml" Id="R533a1029248c44b6" /><Relationship Type="http://schemas.openxmlformats.org/officeDocument/2006/relationships/sharedStrings" Target="/xl/sharedStrings.xml" Id="R2f2eae8806ad4e81" /><Relationship Type="http://schemas.openxmlformats.org/officeDocument/2006/relationships/worksheet" Target="/xl/worksheets/sheet1.xml" Id="Rcf93341a40d74f02" /><Relationship Type="http://schemas.openxmlformats.org/officeDocument/2006/relationships/worksheet" Target="/xl/worksheets/sheet2.xml" Id="Rd745000b720e4281" /><Relationship Type="http://schemas.openxmlformats.org/officeDocument/2006/relationships/worksheet" Target="/xl/worksheets/sheet3.xml" Id="R1d3188010b3544e1" /><Relationship Type="http://schemas.openxmlformats.org/officeDocument/2006/relationships/worksheet" Target="/xl/worksheets/sheet4.xml" Id="R7a0710e68245496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2811953e0244d06" /><Relationship Type="http://schemas.openxmlformats.org/officeDocument/2006/relationships/chart" Target="/xl/drawings/charts/chart2.xml" Id="R8c90379f32c84e5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Recommended reorder quantity by category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Reorder Qty</c:v>
          </c:tx>
          <c:invertIfNegative val="0"/>
          <c:cat>
            <c:strRef>
              <c:f>'Dashboard'!$A$12:$A$15</c:f>
              <c:strCache>
                <c:ptCount val="0"/>
              </c:strCache>
            </c:strRef>
          </c:cat>
          <c:val>
            <c:numRef>
              <c:f>'Dashboard'!$B$12:$B$15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Available inventory value by supplier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Available Value</c:v>
          </c:tx>
          <c:invertIfNegative val="0"/>
          <c:cat>
            <c:strRef>
              <c:f>'Dashboard'!$D$12:$D$15</c:f>
              <c:strCache>
                <c:ptCount val="0"/>
              </c:strCache>
            </c:strRef>
          </c:cat>
          <c:val>
            <c:numRef>
              <c:f>'Dashboard'!$E$12:$E$15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&quot;K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2811953e0244d06"/>
        </a:graphicData>
      </a:graphic>
    </xdr:graphicFrame>
    <xdr:clientData/>
  </xdr:twoCellAnchor>
  <xdr:twoCellAnchor>
    <xdr:from>
      <xdr:col>6</xdr:col>
      <xdr:colOff>0</xdr:colOff>
      <xdr:row>16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90379f32c84e5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tblInventory" displayName="tblInventory" ref="A1:O37" headerRowCount="1" totalsRowCount="0" totalsRowShown="0">
  <x:autoFilter ref="A1:O37"/>
  <x:tableColumns count="15">
    <x:tableColumn id="1" name="SKU"/>
    <x:tableColumn id="2" name="Product"/>
    <x:tableColumn id="3" name="Category"/>
    <x:tableColumn id="4" name="Supplier"/>
    <x:tableColumn id="5" name="Lead Days"/>
    <x:tableColumn id="6" name="On Hand"/>
    <x:tableColumn id="7" name="Allocated"/>
    <x:tableColumn id="8" name="Unit Cost"/>
    <x:tableColumn id="9" name="Avg Daily Use"/>
    <x:tableColumn id="10" name="Safety Stock"/>
    <x:tableColumn id="11" name="Available"/>
    <x:tableColumn id="12" name="Reorder Point"/>
    <x:tableColumn id="13" name="Days Cover"/>
    <x:tableColumn id="14" name="Reorder Qty"/>
    <x:tableColumn id="15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blSuppliers" displayName="tblSuppliers" ref="A1:D5" headerRowCount="1" totalsRowCount="0" totalsRowShown="0">
  <x:autoFilter ref="A1:D5"/>
  <x:tableColumns count="4">
    <x:tableColumn id="1" name="Supplier"/>
    <x:tableColumn id="2" name="Standard Lead Days"/>
    <x:tableColumn id="3" name="Minimum Order"/>
    <x:tableColumn id="4" name="Buy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406c345bce94e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302456398945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e6467a3edd04202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4" max="4" width="20" hidden="0" customWidth="1"/>
    <x:col min="5" max="5" width="20" hidden="0" customWidth="1"/>
  </x:cols>
  <x:sheetData>
    <x:row r="2">
      <x:c r="A2" s="18" t="str">
        <x:v>Inventory and reorder planning overview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6" t="str">
        <x:v>Metric</x:v>
      </x:c>
      <x:c r="B4" s="6" t="str">
        <x:v>Value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2" t="str">
        <x:v>Active SKUs</x:v>
      </x:c>
      <x:c r="B5" s="20" t="n">
        <x:v>36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A6" s="2" t="str">
        <x:v>Available inventory value</x:v>
      </x:c>
      <x:c r="B6" s="7" t="n">
        <x:f>SUM('Inventory'!$K$2*'Inventory'!$H$2,'Inventory'!$K$3*'Inventory'!$H$3,'Inventory'!$K$4*'Inventory'!$H$4,'Inventory'!$K$5*'Inventory'!$H$5,'Inventory'!$K$6*'Inventory'!$H$6,'Inventory'!$K$7*'Inventory'!$H$7,'Inventory'!$K$8*'Inventory'!$H$8,'Inventory'!$K$9*'Inventory'!$H$9,'Inventory'!$K$10*'Inventory'!$H$10,'Inventory'!$K$11*'Inventory'!$H$11,'Inventory'!$K$12*'Inventory'!$H$12,'Inventory'!$K$13*'Inventory'!$H$13,'Inventory'!$K$14*'Inventory'!$H$14,'Inventory'!$K$15*'Inventory'!$H$15,'Inventory'!$K$16*'Inventory'!$H$16,'Inventory'!$K$17*'Inventory'!$H$17,'Inventory'!$K$18*'Inventory'!$H$18,'Inventory'!$K$19*'Inventory'!$H$19,'Inventory'!$K$20*'Inventory'!$H$20,'Inventory'!$K$21*'Inventory'!$H$21,'Inventory'!$K$22*'Inventory'!$H$22,'Inventory'!$K$23*'Inventory'!$H$23,'Inventory'!$K$24*'Inventory'!$H$24,'Inventory'!$K$25*'Inventory'!$H$25,'Inventory'!$K$26*'Inventory'!$H$26,'Inventory'!$K$27*'Inventory'!$H$27,'Inventory'!$K$28*'Inventory'!$H$28,'Inventory'!$K$29*'Inventory'!$H$29,'Inventory'!$K$30*'Inventory'!$H$30,'Inventory'!$K$31*'Inventory'!$H$31,'Inventory'!$K$32*'Inventory'!$H$32,'Inventory'!$K$33*'Inventory'!$H$33,'Inventory'!$K$34*'Inventory'!$H$34,'Inventory'!$K$35*'Inventory'!$H$35,'Inventory'!$K$36*'Inventory'!$H$36,'Inventory'!$K$37*'Inventory'!$H$37)</x:f>
        <x:v>746955.5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>
      <x:c r="A7" s="2" t="str">
        <x:v>SKUs to reorder</x:v>
      </x:c>
      <x:c r="B7" s="20" t="n">
        <x:v>31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2" t="str">
        <x:v>Recommended order cost</x:v>
      </x:c>
      <x:c r="B8" s="7" t="n">
        <x:f>SUM('Inventory'!$N$2*'Inventory'!$H$2,'Inventory'!$N$3*'Inventory'!$H$3,'Inventory'!$N$4*'Inventory'!$H$4,'Inventory'!$N$5*'Inventory'!$H$5,'Inventory'!$N$6*'Inventory'!$H$6,'Inventory'!$N$7*'Inventory'!$H$7,'Inventory'!$N$8*'Inventory'!$H$8,'Inventory'!$N$9*'Inventory'!$H$9,'Inventory'!$N$10*'Inventory'!$H$10,'Inventory'!$N$11*'Inventory'!$H$11,'Inventory'!$N$12*'Inventory'!$H$12,'Inventory'!$N$13*'Inventory'!$H$13,'Inventory'!$N$14*'Inventory'!$H$14,'Inventory'!$N$15*'Inventory'!$H$15,'Inventory'!$N$16*'Inventory'!$H$16,'Inventory'!$N$17*'Inventory'!$H$17,'Inventory'!$N$18*'Inventory'!$H$18,'Inventory'!$N$19*'Inventory'!$H$19,'Inventory'!$N$20*'Inventory'!$H$20,'Inventory'!$N$21*'Inventory'!$H$21,'Inventory'!$N$22*'Inventory'!$H$22,'Inventory'!$N$23*'Inventory'!$H$23,'Inventory'!$N$24*'Inventory'!$H$24,'Inventory'!$N$25*'Inventory'!$H$25,'Inventory'!$N$26*'Inventory'!$H$26,'Inventory'!$N$27*'Inventory'!$H$27,'Inventory'!$N$28*'Inventory'!$H$28,'Inventory'!$N$29*'Inventory'!$H$29,'Inventory'!$N$30*'Inventory'!$H$30,'Inventory'!$N$31*'Inventory'!$H$31,'Inventory'!$N$32*'Inventory'!$H$32,'Inventory'!$N$33*'Inventory'!$H$33,'Inventory'!$N$34*'Inventory'!$H$34,'Inventory'!$N$35*'Inventory'!$H$35,'Inventory'!$N$36*'Inventory'!$H$36,'Inventory'!$N$37*'Inventory'!$H$37)</x:f>
        <x:v>2987300.75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>
      <x:c r="A11" s="6" t="str">
        <x:v>Category</x:v>
      </x:c>
      <x:c r="B11" s="6" t="str">
        <x:v>Reorder Qty</x:v>
      </x:c>
      <x:c r="C11" s="2"/>
      <x:c r="D11" s="6" t="str">
        <x:v>Supplier</x:v>
      </x:c>
      <x:c r="E11" s="6" t="str">
        <x:v>Available Value</x:v>
      </x:c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A12" s="2" t="str">
        <x:v>Electronics</x:v>
      </x:c>
      <x:c r="B12" s="2" t="n">
        <x:f>SUM('Inventory'!$N$2,'Inventory'!$N$6,'Inventory'!$N$10,'Inventory'!$N$14,'Inventory'!$N$18,'Inventory'!$N$22,'Inventory'!$N$26,'Inventory'!$N$30,'Inventory'!$N$34)</x:f>
        <x:v>7736</x:v>
      </x:c>
      <x:c r="C12" s="2"/>
      <x:c r="D12" s="2" t="str">
        <x:v>Apex Supply</x:v>
      </x:c>
      <x:c r="E12" s="7" t="n">
        <x:f>SUM('Inventory'!$K$2*'Inventory'!$H$2,'Inventory'!$K$6*'Inventory'!$H$6,'Inventory'!$K$10*'Inventory'!$H$10,'Inventory'!$K$14*'Inventory'!$H$14,'Inventory'!$K$18*'Inventory'!$H$18,'Inventory'!$K$22*'Inventory'!$H$22,'Inventory'!$K$26*'Inventory'!$H$26,'Inventory'!$K$30*'Inventory'!$H$30,'Inventory'!$K$34*'Inventory'!$H$34)</x:f>
        <x:v>159939.5</x:v>
      </x:c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A13" s="2" t="str">
        <x:v>Components</x:v>
      </x:c>
      <x:c r="B13" s="2" t="n">
        <x:f>SUM('Inventory'!$N$3,'Inventory'!$N$7,'Inventory'!$N$11,'Inventory'!$N$15,'Inventory'!$N$19,'Inventory'!$N$23,'Inventory'!$N$27,'Inventory'!$N$31,'Inventory'!$N$35)</x:f>
        <x:v>6626</x:v>
      </x:c>
      <x:c r="C13" s="2"/>
      <x:c r="D13" s="2" t="str">
        <x:v>Beacon Components</x:v>
      </x:c>
      <x:c r="E13" s="7" t="n">
        <x:f>SUM('Inventory'!$K$5*'Inventory'!$H$5,'Inventory'!$K$9*'Inventory'!$H$9,'Inventory'!$K$13*'Inventory'!$H$13,'Inventory'!$K$17*'Inventory'!$H$17,'Inventory'!$K$21*'Inventory'!$H$21,'Inventory'!$K$25*'Inventory'!$H$25,'Inventory'!$K$29*'Inventory'!$H$29,'Inventory'!$K$33*'Inventory'!$H$33,'Inventory'!$K$37*'Inventory'!$H$37)</x:f>
        <x:v>161005.75</x:v>
      </x:c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A14" s="2" t="str">
        <x:v>Packaging</x:v>
      </x:c>
      <x:c r="B14" s="2" t="n">
        <x:f>SUM('Inventory'!$N$4,'Inventory'!$N$8,'Inventory'!$N$12,'Inventory'!$N$16,'Inventory'!$N$20,'Inventory'!$N$24,'Inventory'!$N$28,'Inventory'!$N$32,'Inventory'!$N$36)</x:f>
        <x:v>7524</x:v>
      </x:c>
      <x:c r="C14" s="2"/>
      <x:c r="D14" s="2" t="str">
        <x:v>CorePack</x:v>
      </x:c>
      <x:c r="E14" s="7" t="n">
        <x:f>SUM('Inventory'!$K$4*'Inventory'!$H$4,'Inventory'!$K$8*'Inventory'!$H$8,'Inventory'!$K$12*'Inventory'!$H$12,'Inventory'!$K$16*'Inventory'!$H$16,'Inventory'!$K$20*'Inventory'!$H$20,'Inventory'!$K$24*'Inventory'!$H$24,'Inventory'!$K$28*'Inventory'!$H$28,'Inventory'!$K$32*'Inventory'!$H$32,'Inventory'!$K$36*'Inventory'!$H$36)</x:f>
        <x:v>199788</x:v>
      </x:c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 t="str">
        <x:v>Service Parts</x:v>
      </x:c>
      <x:c r="B15" s="2" t="n">
        <x:f>SUM('Inventory'!$N$5,'Inventory'!$N$9,'Inventory'!$N$13,'Inventory'!$N$17,'Inventory'!$N$21,'Inventory'!$N$25,'Inventory'!$N$29,'Inventory'!$N$33,'Inventory'!$N$37)</x:f>
        <x:v>6879</x:v>
      </x:c>
      <x:c r="C15" s="2"/>
      <x:c r="D15" s="2" t="str">
        <x:v>Delta Service Co</x:v>
      </x:c>
      <x:c r="E15" s="7" t="n">
        <x:f>SUM('Inventory'!$K$3*'Inventory'!$H$3,'Inventory'!$K$7*'Inventory'!$H$7,'Inventory'!$K$11*'Inventory'!$H$11,'Inventory'!$K$15*'Inventory'!$H$15,'Inventory'!$K$19*'Inventory'!$H$19,'Inventory'!$K$23*'Inventory'!$H$23,'Inventory'!$K$27*'Inventory'!$H$27,'Inventory'!$K$31*'Inventory'!$H$31,'Inventory'!$K$35*'Inventory'!$H$35)</x:f>
        <x:v>226222.25</x:v>
      </x:c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</x:sheetData>
  <x:pageMargins left="0.7" right="0.7" top="0.75" bottom="0.75" header="0.3" footer="0.3"/>
  <x:drawing xmlns:r="http://schemas.openxmlformats.org/officeDocument/2006/relationships" r:id="Rd406c345bce94e81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9" hidden="0" customWidth="1"/>
    <x:col min="4" max="4" width="19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6" t="str">
        <x:v>SKU</x:v>
      </x:c>
      <x:c r="B1" s="6" t="str">
        <x:v>Product</x:v>
      </x:c>
      <x:c r="C1" s="6" t="str">
        <x:v>Category</x:v>
      </x:c>
      <x:c r="D1" s="6" t="str">
        <x:v>Supplier</x:v>
      </x:c>
      <x:c r="E1" s="6" t="str">
        <x:v>Lead Days</x:v>
      </x:c>
      <x:c r="F1" s="6" t="str">
        <x:v>On Hand</x:v>
      </x:c>
      <x:c r="G1" s="6" t="str">
        <x:v>Allocated</x:v>
      </x:c>
      <x:c r="H1" s="6" t="str">
        <x:v>Unit Cost</x:v>
      </x:c>
      <x:c r="I1" s="6" t="str">
        <x:v>Avg Daily Use</x:v>
      </x:c>
      <x:c r="J1" s="6" t="str">
        <x:v>Safety Stock</x:v>
      </x:c>
      <x:c r="K1" s="6" t="str">
        <x:v>Available</x:v>
      </x:c>
      <x:c r="L1" s="6" t="str">
        <x:v>Reorder Point</x:v>
      </x:c>
      <x:c r="M1" s="6" t="str">
        <x:v>Days Cover</x:v>
      </x:c>
      <x:c r="N1" s="6" t="str">
        <x:v>Reorder Qty</x:v>
      </x:c>
      <x:c r="O1" s="6" t="str">
        <x:v>Status</x:v>
      </x:c>
    </x:row>
    <x:row r="2">
      <x:c r="A2" s="2" t="str">
        <x:v>SKU-00101</x:v>
      </x:c>
      <x:c r="B2" s="2" t="str">
        <x:v>Product A-1</x:v>
      </x:c>
      <x:c r="C2" s="2" t="str">
        <x:v>Electronics</x:v>
      </x:c>
      <x:c r="D2" s="2" t="str">
        <x:v>Apex Supply</x:v>
      </x:c>
      <x:c r="E2" s="2" t="n">
        <x:v>5</x:v>
      </x:c>
      <x:c r="F2" s="2" t="n">
        <x:v>35</x:v>
      </x:c>
      <x:c r="G2" s="2" t="n">
        <x:v>0</x:v>
      </x:c>
      <x:c r="H2" s="8" t="n">
        <x:v>4.5</x:v>
      </x:c>
      <x:c r="I2" s="9" t="n">
        <x:v>1.5</x:v>
      </x:c>
      <x:c r="J2" s="9" t="n">
        <x:v>6</x:v>
      </x:c>
      <x:c r="K2" s="9" t="n">
        <x:f>F2-G2</x:f>
        <x:v>35</x:v>
      </x:c>
      <x:c r="L2" s="9" t="n">
        <x:f>I2*E2+J2</x:f>
        <x:v>13.5</x:v>
      </x:c>
      <x:c r="M2" s="9" t="n">
        <x:f>K2/I2</x:f>
        <x:v>23.333333333333332</x:v>
      </x:c>
      <x:c r="N2" s="9" t="n">
        <x:f>ROUNDUP(MAX(0,L2+I2*30-K2),0)</x:f>
        <x:v>24</x:v>
      </x:c>
      <x:c r="O2" s="2" t="str">
        <x:f>IF(K2&lt;=L2,"REORDER","OK")</x:f>
        <x:v>OK</x:v>
      </x:c>
    </x:row>
    <x:row r="3">
      <x:c r="A3" s="2" t="str">
        <x:v>SKU-00102</x:v>
      </x:c>
      <x:c r="B3" s="2" t="str">
        <x:v>Product B-1</x:v>
      </x:c>
      <x:c r="C3" s="2" t="str">
        <x:v>Components</x:v>
      </x:c>
      <x:c r="D3" s="2" t="str">
        <x:v>Delta Service Co</x:v>
      </x:c>
      <x:c r="E3" s="2" t="n">
        <x:v>8</x:v>
      </x:c>
      <x:c r="F3" s="2" t="n">
        <x:v>82</x:v>
      </x:c>
      <x:c r="G3" s="2" t="n">
        <x:v>19</x:v>
      </x:c>
      <x:c r="H3" s="8" t="n">
        <x:v>16.25</x:v>
      </x:c>
      <x:c r="I3" s="9" t="n">
        <x:v>4.2</x:v>
      </x:c>
      <x:c r="J3" s="9" t="n">
        <x:v>21</x:v>
      </x:c>
      <x:c r="K3" s="9" t="n">
        <x:f>F3-G3</x:f>
        <x:v>63</x:v>
      </x:c>
      <x:c r="L3" s="9" t="n">
        <x:f>I3*E3+J3</x:f>
        <x:v>54.6</x:v>
      </x:c>
      <x:c r="M3" s="9" t="n">
        <x:f>K3/I3</x:f>
        <x:v>15</x:v>
      </x:c>
      <x:c r="N3" s="9" t="n">
        <x:f>ROUNDUP(MAX(0,L3+I3*30-K3),0)</x:f>
        <x:v>118</x:v>
      </x:c>
      <x:c r="O3" s="2" t="str">
        <x:f>IF(K3&lt;=L3,"REORDER","OK")</x:f>
        <x:v>OK</x:v>
      </x:c>
    </x:row>
    <x:row r="4">
      <x:c r="A4" s="2" t="str">
        <x:v>SKU-00103</x:v>
      </x:c>
      <x:c r="B4" s="2" t="str">
        <x:v>Product C-1</x:v>
      </x:c>
      <x:c r="C4" s="2" t="str">
        <x:v>Packaging</x:v>
      </x:c>
      <x:c r="D4" s="2" t="str">
        <x:v>CorePack</x:v>
      </x:c>
      <x:c r="E4" s="2" t="n">
        <x:v>11</x:v>
      </x:c>
      <x:c r="F4" s="2" t="n">
        <x:v>129</x:v>
      </x:c>
      <x:c r="G4" s="2" t="n">
        <x:v>38</x:v>
      </x:c>
      <x:c r="H4" s="8" t="n">
        <x:v>28</x:v>
      </x:c>
      <x:c r="I4" s="9" t="n">
        <x:v>6.9</x:v>
      </x:c>
      <x:c r="J4" s="9" t="n">
        <x:v>41</x:v>
      </x:c>
      <x:c r="K4" s="9" t="n">
        <x:f>F4-G4</x:f>
        <x:v>91</x:v>
      </x:c>
      <x:c r="L4" s="9" t="n">
        <x:f>I4*E4+J4</x:f>
        <x:v>116.9</x:v>
      </x:c>
      <x:c r="M4" s="9" t="n">
        <x:f>K4/I4</x:f>
        <x:v>13.18840579710145</x:v>
      </x:c>
      <x:c r="N4" s="9" t="n">
        <x:f>ROUNDUP(MAX(0,L4+I4*30-K4),0)</x:f>
        <x:v>233</x:v>
      </x:c>
      <x:c r="O4" s="2" t="str">
        <x:f>IF(K4&lt;=L4,"REORDER","OK")</x:f>
        <x:v>REORDER</x:v>
      </x:c>
    </x:row>
    <x:row r="5">
      <x:c r="A5" s="2" t="str">
        <x:v>SKU-00104</x:v>
      </x:c>
      <x:c r="B5" s="2" t="str">
        <x:v>Product D-1</x:v>
      </x:c>
      <x:c r="C5" s="2" t="str">
        <x:v>Service Parts</x:v>
      </x:c>
      <x:c r="D5" s="2" t="str">
        <x:v>Beacon Components</x:v>
      </x:c>
      <x:c r="E5" s="2" t="n">
        <x:v>14</x:v>
      </x:c>
      <x:c r="F5" s="2" t="n">
        <x:v>176</x:v>
      </x:c>
      <x:c r="G5" s="2" t="n">
        <x:v>57</x:v>
      </x:c>
      <x:c r="H5" s="8" t="n">
        <x:v>39.75</x:v>
      </x:c>
      <x:c r="I5" s="9" t="n">
        <x:v>9.6</x:v>
      </x:c>
      <x:c r="J5" s="9" t="n">
        <x:v>67</x:v>
      </x:c>
      <x:c r="K5" s="9" t="n">
        <x:f>F5-G5</x:f>
        <x:v>119</x:v>
      </x:c>
      <x:c r="L5" s="9" t="n">
        <x:f>I5*E5+J5</x:f>
        <x:v>201.4</x:v>
      </x:c>
      <x:c r="M5" s="9" t="n">
        <x:f>K5/I5</x:f>
        <x:v>12.395833333333334</x:v>
      </x:c>
      <x:c r="N5" s="9" t="n">
        <x:f>ROUNDUP(MAX(0,L5+I5*30-K5),0)</x:f>
        <x:v>371</x:v>
      </x:c>
      <x:c r="O5" s="2" t="str">
        <x:f>IF(K5&lt;=L5,"REORDER","OK")</x:f>
        <x:v>REORDER</x:v>
      </x:c>
    </x:row>
    <x:row r="6">
      <x:c r="A6" s="2" t="str">
        <x:v>SKU-00105</x:v>
      </x:c>
      <x:c r="B6" s="2" t="str">
        <x:v>Product E-1</x:v>
      </x:c>
      <x:c r="C6" s="2" t="str">
        <x:v>Electronics</x:v>
      </x:c>
      <x:c r="D6" s="2" t="str">
        <x:v>Apex Supply</x:v>
      </x:c>
      <x:c r="E6" s="2" t="n">
        <x:v>17</x:v>
      </x:c>
      <x:c r="F6" s="2" t="n">
        <x:v>223</x:v>
      </x:c>
      <x:c r="G6" s="2" t="n">
        <x:v>76</x:v>
      </x:c>
      <x:c r="H6" s="8" t="n">
        <x:v>51.5</x:v>
      </x:c>
      <x:c r="I6" s="9" t="n">
        <x:v>12.3</x:v>
      </x:c>
      <x:c r="J6" s="9" t="n">
        <x:v>98</x:v>
      </x:c>
      <x:c r="K6" s="9" t="n">
        <x:f>F6-G6</x:f>
        <x:v>147</x:v>
      </x:c>
      <x:c r="L6" s="9" t="n">
        <x:f>I6*E6+J6</x:f>
        <x:v>307.1</x:v>
      </x:c>
      <x:c r="M6" s="9" t="n">
        <x:f>K6/I6</x:f>
        <x:v>11.951219512195122</x:v>
      </x:c>
      <x:c r="N6" s="9" t="n">
        <x:f>ROUNDUP(MAX(0,L6+I6*30-K6),0)</x:f>
        <x:v>530</x:v>
      </x:c>
      <x:c r="O6" s="2" t="str">
        <x:f>IF(K6&lt;=L6,"REORDER","OK")</x:f>
        <x:v>REORDER</x:v>
      </x:c>
    </x:row>
    <x:row r="7">
      <x:c r="A7" s="2" t="str">
        <x:v>SKU-00106</x:v>
      </x:c>
      <x:c r="B7" s="2" t="str">
        <x:v>Product F-1</x:v>
      </x:c>
      <x:c r="C7" s="2" t="str">
        <x:v>Components</x:v>
      </x:c>
      <x:c r="D7" s="2" t="str">
        <x:v>Delta Service Co</x:v>
      </x:c>
      <x:c r="E7" s="2" t="n">
        <x:v>20</x:v>
      </x:c>
      <x:c r="F7" s="2" t="n">
        <x:v>270</x:v>
      </x:c>
      <x:c r="G7" s="2" t="n">
        <x:v>95</x:v>
      </x:c>
      <x:c r="H7" s="8" t="n">
        <x:v>63.25</x:v>
      </x:c>
      <x:c r="I7" s="9" t="n">
        <x:v>15</x:v>
      </x:c>
      <x:c r="J7" s="9" t="n">
        <x:v>135</x:v>
      </x:c>
      <x:c r="K7" s="9" t="n">
        <x:f>F7-G7</x:f>
        <x:v>175</x:v>
      </x:c>
      <x:c r="L7" s="9" t="n">
        <x:f>I7*E7+J7</x:f>
        <x:v>435</x:v>
      </x:c>
      <x:c r="M7" s="9" t="n">
        <x:f>K7/I7</x:f>
        <x:v>11.666666666666666</x:v>
      </x:c>
      <x:c r="N7" s="9" t="n">
        <x:f>ROUNDUP(MAX(0,L7+I7*30-K7),0)</x:f>
        <x:v>710</x:v>
      </x:c>
      <x:c r="O7" s="2" t="str">
        <x:f>IF(K7&lt;=L7,"REORDER","OK")</x:f>
        <x:v>REORDER</x:v>
      </x:c>
    </x:row>
    <x:row r="8">
      <x:c r="A8" s="2" t="str">
        <x:v>SKU-00107</x:v>
      </x:c>
      <x:c r="B8" s="2" t="str">
        <x:v>Product G-1</x:v>
      </x:c>
      <x:c r="C8" s="2" t="str">
        <x:v>Packaging</x:v>
      </x:c>
      <x:c r="D8" s="2" t="str">
        <x:v>CorePack</x:v>
      </x:c>
      <x:c r="E8" s="2" t="n">
        <x:v>23</x:v>
      </x:c>
      <x:c r="F8" s="2" t="n">
        <x:v>317</x:v>
      </x:c>
      <x:c r="G8" s="2" t="n">
        <x:v>114</x:v>
      </x:c>
      <x:c r="H8" s="8" t="n">
        <x:v>75</x:v>
      </x:c>
      <x:c r="I8" s="9" t="n">
        <x:v>17.7</x:v>
      </x:c>
      <x:c r="J8" s="9" t="n">
        <x:v>71</x:v>
      </x:c>
      <x:c r="K8" s="9" t="n">
        <x:f>F8-G8</x:f>
        <x:v>203</x:v>
      </x:c>
      <x:c r="L8" s="9" t="n">
        <x:f>I8*E8+J8</x:f>
        <x:v>478.09999999999997</x:v>
      </x:c>
      <x:c r="M8" s="9" t="n">
        <x:f>K8/I8</x:f>
        <x:v>11.468926553672317</x:v>
      </x:c>
      <x:c r="N8" s="9" t="n">
        <x:f>ROUNDUP(MAX(0,L8+I8*30-K8),0)</x:f>
        <x:v>807</x:v>
      </x:c>
      <x:c r="O8" s="2" t="str">
        <x:f>IF(K8&lt;=L8,"REORDER","OK")</x:f>
        <x:v>REORDER</x:v>
      </x:c>
    </x:row>
    <x:row r="9">
      <x:c r="A9" s="2" t="str">
        <x:v>SKU-00108</x:v>
      </x:c>
      <x:c r="B9" s="2" t="str">
        <x:v>Product H-1</x:v>
      </x:c>
      <x:c r="C9" s="2" t="str">
        <x:v>Service Parts</x:v>
      </x:c>
      <x:c r="D9" s="2" t="str">
        <x:v>Beacon Components</x:v>
      </x:c>
      <x:c r="E9" s="2" t="n">
        <x:v>26</x:v>
      </x:c>
      <x:c r="F9" s="2" t="n">
        <x:v>364</x:v>
      </x:c>
      <x:c r="G9" s="2" t="n">
        <x:v>133</x:v>
      </x:c>
      <x:c r="H9" s="8" t="n">
        <x:v>86.75</x:v>
      </x:c>
      <x:c r="I9" s="9" t="n">
        <x:v>20.4</x:v>
      </x:c>
      <x:c r="J9" s="9" t="n">
        <x:v>102</x:v>
      </x:c>
      <x:c r="K9" s="9" t="n">
        <x:f>F9-G9</x:f>
        <x:v>231</x:v>
      </x:c>
      <x:c r="L9" s="9" t="n">
        <x:f>I9*E9+J9</x:f>
        <x:v>632.4</x:v>
      </x:c>
      <x:c r="M9" s="9" t="n">
        <x:f>K9/I9</x:f>
        <x:v>11.323529411764707</x:v>
      </x:c>
      <x:c r="N9" s="9" t="n">
        <x:f>ROUNDUP(MAX(0,L9+I9*30-K9),0)</x:f>
        <x:v>1014</x:v>
      </x:c>
      <x:c r="O9" s="2" t="str">
        <x:f>IF(K9&lt;=L9,"REORDER","OK")</x:f>
        <x:v>REORDER</x:v>
      </x:c>
    </x:row>
    <x:row r="10">
      <x:c r="A10" s="2" t="str">
        <x:v>SKU-00109</x:v>
      </x:c>
      <x:c r="B10" s="2" t="str">
        <x:v>Product I-1</x:v>
      </x:c>
      <x:c r="C10" s="2" t="str">
        <x:v>Electronics</x:v>
      </x:c>
      <x:c r="D10" s="2" t="str">
        <x:v>Apex Supply</x:v>
      </x:c>
      <x:c r="E10" s="2" t="n">
        <x:v>29</x:v>
      </x:c>
      <x:c r="F10" s="2" t="n">
        <x:v>411</x:v>
      </x:c>
      <x:c r="G10" s="2" t="n">
        <x:v>152</x:v>
      </x:c>
      <x:c r="H10" s="8" t="n">
        <x:v>98.5</x:v>
      </x:c>
      <x:c r="I10" s="9" t="n">
        <x:v>23.1</x:v>
      </x:c>
      <x:c r="J10" s="9" t="n">
        <x:v>139</x:v>
      </x:c>
      <x:c r="K10" s="9" t="n">
        <x:f>F10-G10</x:f>
        <x:v>259</x:v>
      </x:c>
      <x:c r="L10" s="9" t="n">
        <x:f>I10*E10+J10</x:f>
        <x:v>808.9000000000001</x:v>
      </x:c>
      <x:c r="M10" s="9" t="n">
        <x:f>K10/I10</x:f>
        <x:v>11.212121212121211</x:v>
      </x:c>
      <x:c r="N10" s="9" t="n">
        <x:f>ROUNDUP(MAX(0,L10+I10*30-K10),0)</x:f>
        <x:v>1243</x:v>
      </x:c>
      <x:c r="O10" s="2" t="str">
        <x:f>IF(K10&lt;=L10,"REORDER","OK")</x:f>
        <x:v>REORDER</x:v>
      </x:c>
    </x:row>
    <x:row r="11">
      <x:c r="A11" s="2" t="str">
        <x:v>SKU-00110</x:v>
      </x:c>
      <x:c r="B11" s="2" t="str">
        <x:v>Product J-1</x:v>
      </x:c>
      <x:c r="C11" s="2" t="str">
        <x:v>Components</x:v>
      </x:c>
      <x:c r="D11" s="2" t="str">
        <x:v>Delta Service Co</x:v>
      </x:c>
      <x:c r="E11" s="2" t="n">
        <x:v>6</x:v>
      </x:c>
      <x:c r="F11" s="2" t="n">
        <x:v>458</x:v>
      </x:c>
      <x:c r="G11" s="2" t="n">
        <x:v>171</x:v>
      </x:c>
      <x:c r="H11" s="8" t="n">
        <x:v>110.25</x:v>
      </x:c>
      <x:c r="I11" s="9" t="n">
        <x:v>25.8</x:v>
      </x:c>
      <x:c r="J11" s="9" t="n">
        <x:v>181</x:v>
      </x:c>
      <x:c r="K11" s="9" t="n">
        <x:f>F11-G11</x:f>
        <x:v>287</x:v>
      </x:c>
      <x:c r="L11" s="9" t="n">
        <x:f>I11*E11+J11</x:f>
        <x:v>335.8</x:v>
      </x:c>
      <x:c r="M11" s="9" t="n">
        <x:f>K11/I11</x:f>
        <x:v>11.124031007751938</x:v>
      </x:c>
      <x:c r="N11" s="9" t="n">
        <x:f>ROUNDUP(MAX(0,L11+I11*30-K11),0)</x:f>
        <x:v>823</x:v>
      </x:c>
      <x:c r="O11" s="2" t="str">
        <x:f>IF(K11&lt;=L11,"REORDER","OK")</x:f>
        <x:v>REORDER</x:v>
      </x:c>
    </x:row>
    <x:row r="12">
      <x:c r="A12" s="2" t="str">
        <x:v>SKU-00111</x:v>
      </x:c>
      <x:c r="B12" s="2" t="str">
        <x:v>Product K-1</x:v>
      </x:c>
      <x:c r="C12" s="2" t="str">
        <x:v>Packaging</x:v>
      </x:c>
      <x:c r="D12" s="2" t="str">
        <x:v>CorePack</x:v>
      </x:c>
      <x:c r="E12" s="2" t="n">
        <x:v>9</x:v>
      </x:c>
      <x:c r="F12" s="2" t="n">
        <x:v>505</x:v>
      </x:c>
      <x:c r="G12" s="2" t="n">
        <x:v>190</x:v>
      </x:c>
      <x:c r="H12" s="8" t="n">
        <x:v>122</x:v>
      </x:c>
      <x:c r="I12" s="9" t="n">
        <x:v>28.5</x:v>
      </x:c>
      <x:c r="J12" s="9" t="n">
        <x:v>228</x:v>
      </x:c>
      <x:c r="K12" s="9" t="n">
        <x:f>F12-G12</x:f>
        <x:v>315</x:v>
      </x:c>
      <x:c r="L12" s="9" t="n">
        <x:f>I12*E12+J12</x:f>
        <x:v>484.5</x:v>
      </x:c>
      <x:c r="M12" s="9" t="n">
        <x:f>K12/I12</x:f>
        <x:v>11.052631578947368</x:v>
      </x:c>
      <x:c r="N12" s="9" t="n">
        <x:f>ROUNDUP(MAX(0,L12+I12*30-K12),0)</x:f>
        <x:v>1025</x:v>
      </x:c>
      <x:c r="O12" s="2" t="str">
        <x:f>IF(K12&lt;=L12,"REORDER","OK")</x:f>
        <x:v>REORDER</x:v>
      </x:c>
    </x:row>
    <x:row r="13">
      <x:c r="A13" s="2" t="str">
        <x:v>SKU-00112</x:v>
      </x:c>
      <x:c r="B13" s="2" t="str">
        <x:v>Product L-1</x:v>
      </x:c>
      <x:c r="C13" s="2" t="str">
        <x:v>Service Parts</x:v>
      </x:c>
      <x:c r="D13" s="2" t="str">
        <x:v>Beacon Components</x:v>
      </x:c>
      <x:c r="E13" s="2" t="n">
        <x:v>12</x:v>
      </x:c>
      <x:c r="F13" s="2" t="n">
        <x:v>552</x:v>
      </x:c>
      <x:c r="G13" s="2" t="n">
        <x:v>209</x:v>
      </x:c>
      <x:c r="H13" s="8" t="n">
        <x:v>133.75</x:v>
      </x:c>
      <x:c r="I13" s="9" t="n">
        <x:v>31.2</x:v>
      </x:c>
      <x:c r="J13" s="9" t="n">
        <x:v>281</x:v>
      </x:c>
      <x:c r="K13" s="9" t="n">
        <x:f>F13-G13</x:f>
        <x:v>343</x:v>
      </x:c>
      <x:c r="L13" s="9" t="n">
        <x:f>I13*E13+J13</x:f>
        <x:v>655.4</x:v>
      </x:c>
      <x:c r="M13" s="9" t="n">
        <x:f>K13/I13</x:f>
        <x:v>10.993589743589745</x:v>
      </x:c>
      <x:c r="N13" s="9" t="n">
        <x:f>ROUNDUP(MAX(0,L13+I13*30-K13),0)</x:f>
        <x:v>1249</x:v>
      </x:c>
      <x:c r="O13" s="2" t="str">
        <x:f>IF(K13&lt;=L13,"REORDER","OK")</x:f>
        <x:v>REORDER</x:v>
      </x:c>
    </x:row>
    <x:row r="14">
      <x:c r="A14" s="2" t="str">
        <x:v>SKU-00113</x:v>
      </x:c>
      <x:c r="B14" s="2" t="str">
        <x:v>Product M-1</x:v>
      </x:c>
      <x:c r="C14" s="2" t="str">
        <x:v>Electronics</x:v>
      </x:c>
      <x:c r="D14" s="2" t="str">
        <x:v>Apex Supply</x:v>
      </x:c>
      <x:c r="E14" s="2" t="n">
        <x:v>15</x:v>
      </x:c>
      <x:c r="F14" s="2" t="n">
        <x:v>599</x:v>
      </x:c>
      <x:c r="G14" s="2" t="n">
        <x:v>228</x:v>
      </x:c>
      <x:c r="H14" s="8" t="n">
        <x:v>145.5</x:v>
      </x:c>
      <x:c r="I14" s="9" t="n">
        <x:v>33.9</x:v>
      </x:c>
      <x:c r="J14" s="9" t="n">
        <x:v>136</x:v>
      </x:c>
      <x:c r="K14" s="9" t="n">
        <x:f>F14-G14</x:f>
        <x:v>371</x:v>
      </x:c>
      <x:c r="L14" s="9" t="n">
        <x:f>I14*E14+J14</x:f>
        <x:v>644.5</x:v>
      </x:c>
      <x:c r="M14" s="9" t="n">
        <x:f>K14/I14</x:f>
        <x:v>10.943952802359883</x:v>
      </x:c>
      <x:c r="N14" s="9" t="n">
        <x:f>ROUNDUP(MAX(0,L14+I14*30-K14),0)</x:f>
        <x:v>1291</x:v>
      </x:c>
      <x:c r="O14" s="2" t="str">
        <x:f>IF(K14&lt;=L14,"REORDER","OK")</x:f>
        <x:v>REORDER</x:v>
      </x:c>
    </x:row>
    <x:row r="15">
      <x:c r="A15" s="2" t="str">
        <x:v>SKU-00114</x:v>
      </x:c>
      <x:c r="B15" s="2" t="str">
        <x:v>Product N-1</x:v>
      </x:c>
      <x:c r="C15" s="2" t="str">
        <x:v>Components</x:v>
      </x:c>
      <x:c r="D15" s="2" t="str">
        <x:v>Delta Service Co</x:v>
      </x:c>
      <x:c r="E15" s="2" t="n">
        <x:v>18</x:v>
      </x:c>
      <x:c r="F15" s="2" t="n">
        <x:v>646</x:v>
      </x:c>
      <x:c r="G15" s="2" t="n">
        <x:v>247</x:v>
      </x:c>
      <x:c r="H15" s="8" t="n">
        <x:v>157.25</x:v>
      </x:c>
      <x:c r="I15" s="9" t="n">
        <x:v>36.6</x:v>
      </x:c>
      <x:c r="J15" s="9" t="n">
        <x:v>183</x:v>
      </x:c>
      <x:c r="K15" s="9" t="n">
        <x:f>F15-G15</x:f>
        <x:v>399</x:v>
      </x:c>
      <x:c r="L15" s="9" t="n">
        <x:f>I15*E15+J15</x:f>
        <x:v>841.8000000000001</x:v>
      </x:c>
      <x:c r="M15" s="9" t="n">
        <x:f>K15/I15</x:f>
        <x:v>10.901639344262295</x:v>
      </x:c>
      <x:c r="N15" s="9" t="n">
        <x:f>ROUNDUP(MAX(0,L15+I15*30-K15),0)</x:f>
        <x:v>1541</x:v>
      </x:c>
      <x:c r="O15" s="2" t="str">
        <x:f>IF(K15&lt;=L15,"REORDER","OK")</x:f>
        <x:v>REORDER</x:v>
      </x:c>
    </x:row>
    <x:row r="16">
      <x:c r="A16" s="2" t="str">
        <x:v>SKU-00115</x:v>
      </x:c>
      <x:c r="B16" s="2" t="str">
        <x:v>Product O-1</x:v>
      </x:c>
      <x:c r="C16" s="2" t="str">
        <x:v>Packaging</x:v>
      </x:c>
      <x:c r="D16" s="2" t="str">
        <x:v>CorePack</x:v>
      </x:c>
      <x:c r="E16" s="2" t="n">
        <x:v>21</x:v>
      </x:c>
      <x:c r="F16" s="2" t="n">
        <x:v>73</x:v>
      </x:c>
      <x:c r="G16" s="2" t="n">
        <x:v>11</x:v>
      </x:c>
      <x:c r="H16" s="8" t="n">
        <x:v>169</x:v>
      </x:c>
      <x:c r="I16" s="9" t="n">
        <x:v>39.3</x:v>
      </x:c>
      <x:c r="J16" s="9" t="n">
        <x:v>236</x:v>
      </x:c>
      <x:c r="K16" s="9" t="n">
        <x:f>F16-G16</x:f>
        <x:v>62</x:v>
      </x:c>
      <x:c r="L16" s="9" t="n">
        <x:f>I16*E16+J16</x:f>
        <x:v>1061.3</x:v>
      </x:c>
      <x:c r="M16" s="9" t="n">
        <x:f>K16/I16</x:f>
        <x:v>1.5776081424936388</x:v>
      </x:c>
      <x:c r="N16" s="9" t="n">
        <x:f>ROUNDUP(MAX(0,L16+I16*30-K16),0)</x:f>
        <x:v>2179</x:v>
      </x:c>
      <x:c r="O16" s="2" t="str">
        <x:f>IF(K16&lt;=L16,"REORDER","OK")</x:f>
        <x:v>REORDER</x:v>
      </x:c>
    </x:row>
    <x:row r="17">
      <x:c r="A17" s="2" t="str">
        <x:v>SKU-00116</x:v>
      </x:c>
      <x:c r="B17" s="2" t="str">
        <x:v>Product P-1</x:v>
      </x:c>
      <x:c r="C17" s="2" t="str">
        <x:v>Service Parts</x:v>
      </x:c>
      <x:c r="D17" s="2" t="str">
        <x:v>Beacon Components</x:v>
      </x:c>
      <x:c r="E17" s="2" t="n">
        <x:v>24</x:v>
      </x:c>
      <x:c r="F17" s="2" t="n">
        <x:v>120</x:v>
      </x:c>
      <x:c r="G17" s="2" t="n">
        <x:v>33</x:v>
      </x:c>
      <x:c r="H17" s="8" t="n">
        <x:v>180.75</x:v>
      </x:c>
      <x:c r="I17" s="9" t="n">
        <x:v>4</x:v>
      </x:c>
      <x:c r="J17" s="9" t="n">
        <x:v>28</x:v>
      </x:c>
      <x:c r="K17" s="9" t="n">
        <x:f>F17-G17</x:f>
        <x:v>87</x:v>
      </x:c>
      <x:c r="L17" s="9" t="n">
        <x:f>I17*E17+J17</x:f>
        <x:v>124</x:v>
      </x:c>
      <x:c r="M17" s="9" t="n">
        <x:f>K17/I17</x:f>
        <x:v>21.75</x:v>
      </x:c>
      <x:c r="N17" s="9" t="n">
        <x:f>ROUNDUP(MAX(0,L17+I17*30-K17),0)</x:f>
        <x:v>157</x:v>
      </x:c>
      <x:c r="O17" s="2" t="str">
        <x:f>IF(K17&lt;=L17,"REORDER","OK")</x:f>
        <x:v>REORDER</x:v>
      </x:c>
    </x:row>
    <x:row r="18">
      <x:c r="A18" s="2" t="str">
        <x:v>SKU-00117</x:v>
      </x:c>
      <x:c r="B18" s="2" t="str">
        <x:v>Product Q-1</x:v>
      </x:c>
      <x:c r="C18" s="2" t="str">
        <x:v>Electronics</x:v>
      </x:c>
      <x:c r="D18" s="2" t="str">
        <x:v>Apex Supply</x:v>
      </x:c>
      <x:c r="E18" s="2" t="n">
        <x:v>27</x:v>
      </x:c>
      <x:c r="F18" s="2" t="n">
        <x:v>167</x:v>
      </x:c>
      <x:c r="G18" s="2" t="n">
        <x:v>72</x:v>
      </x:c>
      <x:c r="H18" s="8" t="n">
        <x:v>12.5</x:v>
      </x:c>
      <x:c r="I18" s="9" t="n">
        <x:v>6.7</x:v>
      </x:c>
      <x:c r="J18" s="9" t="n">
        <x:v>54</x:v>
      </x:c>
      <x:c r="K18" s="9" t="n">
        <x:f>F18-G18</x:f>
        <x:v>95</x:v>
      </x:c>
      <x:c r="L18" s="9" t="n">
        <x:f>I18*E18+J18</x:f>
        <x:v>234.9</x:v>
      </x:c>
      <x:c r="M18" s="9" t="n">
        <x:f>K18/I18</x:f>
        <x:v>14.17910447761194</x:v>
      </x:c>
      <x:c r="N18" s="9" t="n">
        <x:f>ROUNDUP(MAX(0,L18+I18*30-K18),0)</x:f>
        <x:v>341</x:v>
      </x:c>
      <x:c r="O18" s="2" t="str">
        <x:f>IF(K18&lt;=L18,"REORDER","OK")</x:f>
        <x:v>REORDER</x:v>
      </x:c>
    </x:row>
    <x:row r="19">
      <x:c r="A19" s="2" t="str">
        <x:v>SKU-00118</x:v>
      </x:c>
      <x:c r="B19" s="2" t="str">
        <x:v>Product R-1</x:v>
      </x:c>
      <x:c r="C19" s="2" t="str">
        <x:v>Components</x:v>
      </x:c>
      <x:c r="D19" s="2" t="str">
        <x:v>Delta Service Co</x:v>
      </x:c>
      <x:c r="E19" s="2" t="n">
        <x:v>30</x:v>
      </x:c>
      <x:c r="F19" s="2" t="n">
        <x:v>214</x:v>
      </x:c>
      <x:c r="G19" s="2" t="n">
        <x:v>25</x:v>
      </x:c>
      <x:c r="H19" s="8" t="n">
        <x:v>24.25</x:v>
      </x:c>
      <x:c r="I19" s="9" t="n">
        <x:v>9.4</x:v>
      </x:c>
      <x:c r="J19" s="9" t="n">
        <x:v>85</x:v>
      </x:c>
      <x:c r="K19" s="9" t="n">
        <x:f>F19-G19</x:f>
        <x:v>189</x:v>
      </x:c>
      <x:c r="L19" s="9" t="n">
        <x:f>I19*E19+J19</x:f>
        <x:v>367</x:v>
      </x:c>
      <x:c r="M19" s="9" t="n">
        <x:f>K19/I19</x:f>
        <x:v>20.106382978723403</x:v>
      </x:c>
      <x:c r="N19" s="9" t="n">
        <x:f>ROUNDUP(MAX(0,L19+I19*30-K19),0)</x:f>
        <x:v>460</x:v>
      </x:c>
      <x:c r="O19" s="2" t="str">
        <x:f>IF(K19&lt;=L19,"REORDER","OK")</x:f>
        <x:v>REORDER</x:v>
      </x:c>
    </x:row>
    <x:row r="20">
      <x:c r="A20" s="2" t="str">
        <x:v>SKU-00119</x:v>
      </x:c>
      <x:c r="B20" s="2" t="str">
        <x:v>Product S-1</x:v>
      </x:c>
      <x:c r="C20" s="2" t="str">
        <x:v>Packaging</x:v>
      </x:c>
      <x:c r="D20" s="2" t="str">
        <x:v>CorePack</x:v>
      </x:c>
      <x:c r="E20" s="2" t="n">
        <x:v>7</x:v>
      </x:c>
      <x:c r="F20" s="2" t="n">
        <x:v>261</x:v>
      </x:c>
      <x:c r="G20" s="2" t="n">
        <x:v>160</x:v>
      </x:c>
      <x:c r="H20" s="8" t="n">
        <x:v>36</x:v>
      </x:c>
      <x:c r="I20" s="9" t="n">
        <x:v>12.1</x:v>
      </x:c>
      <x:c r="J20" s="9" t="n">
        <x:v>48</x:v>
      </x:c>
      <x:c r="K20" s="9" t="n">
        <x:f>F20-G20</x:f>
        <x:v>101</x:v>
      </x:c>
      <x:c r="L20" s="9" t="n">
        <x:f>I20*E20+J20</x:f>
        <x:v>132.7</x:v>
      </x:c>
      <x:c r="M20" s="9" t="n">
        <x:f>K20/I20</x:f>
        <x:v>8.347107438016529</x:v>
      </x:c>
      <x:c r="N20" s="9" t="n">
        <x:f>ROUNDUP(MAX(0,L20+I20*30-K20),0)</x:f>
        <x:v>395</x:v>
      </x:c>
      <x:c r="O20" s="2" t="str">
        <x:f>IF(K20&lt;=L20,"REORDER","OK")</x:f>
        <x:v>REORDER</x:v>
      </x:c>
    </x:row>
    <x:row r="21">
      <x:c r="A21" s="2" t="str">
        <x:v>SKU-00120</x:v>
      </x:c>
      <x:c r="B21" s="2" t="str">
        <x:v>Product T-1</x:v>
      </x:c>
      <x:c r="C21" s="2" t="str">
        <x:v>Service Parts</x:v>
      </x:c>
      <x:c r="D21" s="2" t="str">
        <x:v>Beacon Components</x:v>
      </x:c>
      <x:c r="E21" s="2" t="n">
        <x:v>10</x:v>
      </x:c>
      <x:c r="F21" s="2" t="n">
        <x:v>308</x:v>
      </x:c>
      <x:c r="G21" s="2" t="n">
        <x:v>146</x:v>
      </x:c>
      <x:c r="H21" s="8" t="n">
        <x:v>47.75</x:v>
      </x:c>
      <x:c r="I21" s="9" t="n">
        <x:v>14.8</x:v>
      </x:c>
      <x:c r="J21" s="9" t="n">
        <x:v>74</x:v>
      </x:c>
      <x:c r="K21" s="9" t="n">
        <x:f>F21-G21</x:f>
        <x:v>162</x:v>
      </x:c>
      <x:c r="L21" s="9" t="n">
        <x:f>I21*E21+J21</x:f>
        <x:v>222</x:v>
      </x:c>
      <x:c r="M21" s="9" t="n">
        <x:f>K21/I21</x:f>
        <x:v>10.945945945945946</x:v>
      </x:c>
      <x:c r="N21" s="9" t="n">
        <x:f>ROUNDUP(MAX(0,L21+I21*30-K21),0)</x:f>
        <x:v>504</x:v>
      </x:c>
      <x:c r="O21" s="2" t="str">
        <x:f>IF(K21&lt;=L21,"REORDER","OK")</x:f>
        <x:v>REORDER</x:v>
      </x:c>
    </x:row>
    <x:row r="22">
      <x:c r="A22" s="2" t="str">
        <x:v>SKU-00121</x:v>
      </x:c>
      <x:c r="B22" s="2" t="str">
        <x:v>Product U-1</x:v>
      </x:c>
      <x:c r="C22" s="2" t="str">
        <x:v>Electronics</x:v>
      </x:c>
      <x:c r="D22" s="2" t="str">
        <x:v>Apex Supply</x:v>
      </x:c>
      <x:c r="E22" s="2" t="n">
        <x:v>13</x:v>
      </x:c>
      <x:c r="F22" s="2" t="n">
        <x:v>355</x:v>
      </x:c>
      <x:c r="G22" s="2" t="n">
        <x:v>132</x:v>
      </x:c>
      <x:c r="H22" s="8" t="n">
        <x:v>59.5</x:v>
      </x:c>
      <x:c r="I22" s="9" t="n">
        <x:v>17.5</x:v>
      </x:c>
      <x:c r="J22" s="9" t="n">
        <x:v>105</x:v>
      </x:c>
      <x:c r="K22" s="9" t="n">
        <x:f>F22-G22</x:f>
        <x:v>223</x:v>
      </x:c>
      <x:c r="L22" s="9" t="n">
        <x:f>I22*E22+J22</x:f>
        <x:v>332.5</x:v>
      </x:c>
      <x:c r="M22" s="9" t="n">
        <x:f>K22/I22</x:f>
        <x:v>12.742857142857142</x:v>
      </x:c>
      <x:c r="N22" s="9" t="n">
        <x:f>ROUNDUP(MAX(0,L22+I22*30-K22),0)</x:f>
        <x:v>635</x:v>
      </x:c>
      <x:c r="O22" s="2" t="str">
        <x:f>IF(K22&lt;=L22,"REORDER","OK")</x:f>
        <x:v>REORDER</x:v>
      </x:c>
    </x:row>
    <x:row r="23">
      <x:c r="A23" s="2" t="str">
        <x:v>SKU-00122</x:v>
      </x:c>
      <x:c r="B23" s="2" t="str">
        <x:v>Product V-1</x:v>
      </x:c>
      <x:c r="C23" s="2" t="str">
        <x:v>Components</x:v>
      </x:c>
      <x:c r="D23" s="2" t="str">
        <x:v>Delta Service Co</x:v>
      </x:c>
      <x:c r="E23" s="2" t="n">
        <x:v>16</x:v>
      </x:c>
      <x:c r="F23" s="2" t="n">
        <x:v>402</x:v>
      </x:c>
      <x:c r="G23" s="2" t="n">
        <x:v>118</x:v>
      </x:c>
      <x:c r="H23" s="8" t="n">
        <x:v>71.25</x:v>
      </x:c>
      <x:c r="I23" s="9" t="n">
        <x:v>20.2</x:v>
      </x:c>
      <x:c r="J23" s="9" t="n">
        <x:v>141</x:v>
      </x:c>
      <x:c r="K23" s="9" t="n">
        <x:f>F23-G23</x:f>
        <x:v>284</x:v>
      </x:c>
      <x:c r="L23" s="9" t="n">
        <x:f>I23*E23+J23</x:f>
        <x:v>464.2</x:v>
      </x:c>
      <x:c r="M23" s="9" t="n">
        <x:f>K23/I23</x:f>
        <x:v>14.05940594059406</x:v>
      </x:c>
      <x:c r="N23" s="9" t="n">
        <x:f>ROUNDUP(MAX(0,L23+I23*30-K23),0)</x:f>
        <x:v>787</x:v>
      </x:c>
      <x:c r="O23" s="2" t="str">
        <x:f>IF(K23&lt;=L23,"REORDER","OK")</x:f>
        <x:v>REORDER</x:v>
      </x:c>
    </x:row>
    <x:row r="24">
      <x:c r="A24" s="2" t="str">
        <x:v>SKU-00123</x:v>
      </x:c>
      <x:c r="B24" s="2" t="str">
        <x:v>Product W-1</x:v>
      </x:c>
      <x:c r="C24" s="2" t="str">
        <x:v>Packaging</x:v>
      </x:c>
      <x:c r="D24" s="2" t="str">
        <x:v>CorePack</x:v>
      </x:c>
      <x:c r="E24" s="2" t="n">
        <x:v>19</x:v>
      </x:c>
      <x:c r="F24" s="2" t="n">
        <x:v>449</x:v>
      </x:c>
      <x:c r="G24" s="2" t="n">
        <x:v>104</x:v>
      </x:c>
      <x:c r="H24" s="8" t="n">
        <x:v>83</x:v>
      </x:c>
      <x:c r="I24" s="9" t="n">
        <x:v>22.9</x:v>
      </x:c>
      <x:c r="J24" s="9" t="n">
        <x:v>183</x:v>
      </x:c>
      <x:c r="K24" s="9" t="n">
        <x:f>F24-G24</x:f>
        <x:v>345</x:v>
      </x:c>
      <x:c r="L24" s="9" t="n">
        <x:f>I24*E24+J24</x:f>
        <x:v>618.0999999999999</x:v>
      </x:c>
      <x:c r="M24" s="9" t="n">
        <x:f>K24/I24</x:f>
        <x:v>15.065502183406114</x:v>
      </x:c>
      <x:c r="N24" s="9" t="n">
        <x:f>ROUNDUP(MAX(0,L24+I24*30-K24),0)</x:f>
        <x:v>961</x:v>
      </x:c>
      <x:c r="O24" s="2" t="str">
        <x:f>IF(K24&lt;=L24,"REORDER","OK")</x:f>
        <x:v>REORDER</x:v>
      </x:c>
    </x:row>
    <x:row r="25">
      <x:c r="A25" s="2" t="str">
        <x:v>SKU-00124</x:v>
      </x:c>
      <x:c r="B25" s="2" t="str">
        <x:v>Product X-1</x:v>
      </x:c>
      <x:c r="C25" s="2" t="str">
        <x:v>Service Parts</x:v>
      </x:c>
      <x:c r="D25" s="2" t="str">
        <x:v>Beacon Components</x:v>
      </x:c>
      <x:c r="E25" s="2" t="n">
        <x:v>22</x:v>
      </x:c>
      <x:c r="F25" s="2" t="n">
        <x:v>496</x:v>
      </x:c>
      <x:c r="G25" s="2" t="n">
        <x:v>90</x:v>
      </x:c>
      <x:c r="H25" s="8" t="n">
        <x:v>94.75</x:v>
      </x:c>
      <x:c r="I25" s="9" t="n">
        <x:v>25.6</x:v>
      </x:c>
      <x:c r="J25" s="9" t="n">
        <x:v>230</x:v>
      </x:c>
      <x:c r="K25" s="9" t="n">
        <x:f>F25-G25</x:f>
        <x:v>406</x:v>
      </x:c>
      <x:c r="L25" s="9" t="n">
        <x:f>I25*E25+J25</x:f>
        <x:v>793.2</x:v>
      </x:c>
      <x:c r="M25" s="9" t="n">
        <x:f>K25/I25</x:f>
        <x:v>15.859375</x:v>
      </x:c>
      <x:c r="N25" s="9" t="n">
        <x:f>ROUNDUP(MAX(0,L25+I25*30-K25),0)</x:f>
        <x:v>1156</x:v>
      </x:c>
      <x:c r="O25" s="2" t="str">
        <x:f>IF(K25&lt;=L25,"REORDER","OK")</x:f>
        <x:v>REORDER</x:v>
      </x:c>
    </x:row>
    <x:row r="26">
      <x:c r="A26" s="2" t="str">
        <x:v>SKU-00125</x:v>
      </x:c>
      <x:c r="B26" s="2" t="str">
        <x:v>Product Y-1</x:v>
      </x:c>
      <x:c r="C26" s="2" t="str">
        <x:v>Electronics</x:v>
      </x:c>
      <x:c r="D26" s="2" t="str">
        <x:v>Apex Supply</x:v>
      </x:c>
      <x:c r="E26" s="2" t="n">
        <x:v>25</x:v>
      </x:c>
      <x:c r="F26" s="2" t="n">
        <x:v>543</x:v>
      </x:c>
      <x:c r="G26" s="2" t="n">
        <x:v>76</x:v>
      </x:c>
      <x:c r="H26" s="8" t="n">
        <x:v>106.5</x:v>
      </x:c>
      <x:c r="I26" s="9" t="n">
        <x:v>28.3</x:v>
      </x:c>
      <x:c r="J26" s="9" t="n">
        <x:v>113</x:v>
      </x:c>
      <x:c r="K26" s="9" t="n">
        <x:f>F26-G26</x:f>
        <x:v>467</x:v>
      </x:c>
      <x:c r="L26" s="9" t="n">
        <x:f>I26*E26+J26</x:f>
        <x:v>820.5</x:v>
      </x:c>
      <x:c r="M26" s="9" t="n">
        <x:f>K26/I26</x:f>
        <x:v>16.501766784452297</x:v>
      </x:c>
      <x:c r="N26" s="9" t="n">
        <x:f>ROUNDUP(MAX(0,L26+I26*30-K26),0)</x:f>
        <x:v>1203</x:v>
      </x:c>
      <x:c r="O26" s="2" t="str">
        <x:f>IF(K26&lt;=L26,"REORDER","OK")</x:f>
        <x:v>REORDER</x:v>
      </x:c>
    </x:row>
    <x:row r="27">
      <x:c r="A27" s="2" t="str">
        <x:v>SKU-00126</x:v>
      </x:c>
      <x:c r="B27" s="2" t="str">
        <x:v>Product Z-1</x:v>
      </x:c>
      <x:c r="C27" s="2" t="str">
        <x:v>Components</x:v>
      </x:c>
      <x:c r="D27" s="2" t="str">
        <x:v>Delta Service Co</x:v>
      </x:c>
      <x:c r="E27" s="2" t="n">
        <x:v>28</x:v>
      </x:c>
      <x:c r="F27" s="2" t="n">
        <x:v>590</x:v>
      </x:c>
      <x:c r="G27" s="2" t="n">
        <x:v>62</x:v>
      </x:c>
      <x:c r="H27" s="8" t="n">
        <x:v>118.25</x:v>
      </x:c>
      <x:c r="I27" s="9" t="n">
        <x:v>31</x:v>
      </x:c>
      <x:c r="J27" s="9" t="n">
        <x:v>155</x:v>
      </x:c>
      <x:c r="K27" s="9" t="n">
        <x:f>F27-G27</x:f>
        <x:v>528</x:v>
      </x:c>
      <x:c r="L27" s="9" t="n">
        <x:f>I27*E27+J27</x:f>
        <x:v>1023</x:v>
      </x:c>
      <x:c r="M27" s="9" t="n">
        <x:f>K27/I27</x:f>
        <x:v>17.032258064516128</x:v>
      </x:c>
      <x:c r="N27" s="9" t="n">
        <x:f>ROUNDUP(MAX(0,L27+I27*30-K27),0)</x:f>
        <x:v>1425</x:v>
      </x:c>
      <x:c r="O27" s="2" t="str">
        <x:f>IF(K27&lt;=L27,"REORDER","OK")</x:f>
        <x:v>REORDER</x:v>
      </x:c>
    </x:row>
    <x:row r="28">
      <x:c r="A28" s="2" t="str">
        <x:v>SKU-00127</x:v>
      </x:c>
      <x:c r="B28" s="2" t="str">
        <x:v>Product A-2</x:v>
      </x:c>
      <x:c r="C28" s="2" t="str">
        <x:v>Packaging</x:v>
      </x:c>
      <x:c r="D28" s="2" t="str">
        <x:v>CorePack</x:v>
      </x:c>
      <x:c r="E28" s="2" t="n">
        <x:v>5</x:v>
      </x:c>
      <x:c r="F28" s="2" t="n">
        <x:v>637</x:v>
      </x:c>
      <x:c r="G28" s="2" t="n">
        <x:v>49</x:v>
      </x:c>
      <x:c r="H28" s="8" t="n">
        <x:v>130</x:v>
      </x:c>
      <x:c r="I28" s="9" t="n">
        <x:v>33.7</x:v>
      </x:c>
      <x:c r="J28" s="9" t="n">
        <x:v>202</x:v>
      </x:c>
      <x:c r="K28" s="9" t="n">
        <x:f>F28-G28</x:f>
        <x:v>588</x:v>
      </x:c>
      <x:c r="L28" s="9" t="n">
        <x:f>I28*E28+J28</x:f>
        <x:v>370.5</x:v>
      </x:c>
      <x:c r="M28" s="9" t="n">
        <x:f>K28/I28</x:f>
        <x:v>17.44807121661721</x:v>
      </x:c>
      <x:c r="N28" s="9" t="n">
        <x:f>ROUNDUP(MAX(0,L28+I28*30-K28),0)</x:f>
        <x:v>794</x:v>
      </x:c>
      <x:c r="O28" s="2" t="str">
        <x:f>IF(K28&lt;=L28,"REORDER","OK")</x:f>
        <x:v>OK</x:v>
      </x:c>
    </x:row>
    <x:row r="29">
      <x:c r="A29" s="2" t="str">
        <x:v>SKU-00128</x:v>
      </x:c>
      <x:c r="B29" s="2" t="str">
        <x:v>Product B-2</x:v>
      </x:c>
      <x:c r="C29" s="2" t="str">
        <x:v>Service Parts</x:v>
      </x:c>
      <x:c r="D29" s="2" t="str">
        <x:v>Beacon Components</x:v>
      </x:c>
      <x:c r="E29" s="2" t="n">
        <x:v>8</x:v>
      </x:c>
      <x:c r="F29" s="2" t="n">
        <x:v>64</x:v>
      </x:c>
      <x:c r="G29" s="2" t="n">
        <x:v>29</x:v>
      </x:c>
      <x:c r="H29" s="8" t="n">
        <x:v>141.75</x:v>
      </x:c>
      <x:c r="I29" s="9" t="n">
        <x:v>36.4</x:v>
      </x:c>
      <x:c r="J29" s="9" t="n">
        <x:v>255</x:v>
      </x:c>
      <x:c r="K29" s="9" t="n">
        <x:f>F29-G29</x:f>
        <x:v>35</x:v>
      </x:c>
      <x:c r="L29" s="9" t="n">
        <x:f>I29*E29+J29</x:f>
        <x:v>546.2</x:v>
      </x:c>
      <x:c r="M29" s="9" t="n">
        <x:f>K29/I29</x:f>
        <x:v>0.9615384615384616</x:v>
      </x:c>
      <x:c r="N29" s="9" t="n">
        <x:f>ROUNDUP(MAX(0,L29+I29*30-K29),0)</x:f>
        <x:v>1604</x:v>
      </x:c>
      <x:c r="O29" s="2" t="str">
        <x:f>IF(K29&lt;=L29,"REORDER","OK")</x:f>
        <x:v>REORDER</x:v>
      </x:c>
    </x:row>
    <x:row r="30">
      <x:c r="A30" s="2" t="str">
        <x:v>SKU-00129</x:v>
      </x:c>
      <x:c r="B30" s="2" t="str">
        <x:v>Product C-2</x:v>
      </x:c>
      <x:c r="C30" s="2" t="str">
        <x:v>Electronics</x:v>
      </x:c>
      <x:c r="D30" s="2" t="str">
        <x:v>Apex Supply</x:v>
      </x:c>
      <x:c r="E30" s="2" t="n">
        <x:v>11</x:v>
      </x:c>
      <x:c r="F30" s="2" t="n">
        <x:v>111</x:v>
      </x:c>
      <x:c r="G30" s="2" t="n">
        <x:v>70</x:v>
      </x:c>
      <x:c r="H30" s="8" t="n">
        <x:v>153.5</x:v>
      </x:c>
      <x:c r="I30" s="9" t="n">
        <x:v>39.1</x:v>
      </x:c>
      <x:c r="J30" s="9" t="n">
        <x:v>313</x:v>
      </x:c>
      <x:c r="K30" s="9" t="n">
        <x:f>F30-G30</x:f>
        <x:v>41</x:v>
      </x:c>
      <x:c r="L30" s="9" t="n">
        <x:f>I30*E30+J30</x:f>
        <x:v>743.1</x:v>
      </x:c>
      <x:c r="M30" s="9" t="n">
        <x:f>K30/I30</x:f>
        <x:v>1.0485933503836318</x:v>
      </x:c>
      <x:c r="N30" s="9" t="n">
        <x:f>ROUNDUP(MAX(0,L30+I30*30-K30),0)</x:f>
        <x:v>1876</x:v>
      </x:c>
      <x:c r="O30" s="2" t="str">
        <x:f>IF(K30&lt;=L30,"REORDER","OK")</x:f>
        <x:v>REORDER</x:v>
      </x:c>
    </x:row>
    <x:row r="31">
      <x:c r="A31" s="2" t="str">
        <x:v>SKU-00130</x:v>
      </x:c>
      <x:c r="B31" s="2" t="str">
        <x:v>Product D-2</x:v>
      </x:c>
      <x:c r="C31" s="2" t="str">
        <x:v>Components</x:v>
      </x:c>
      <x:c r="D31" s="2" t="str">
        <x:v>Delta Service Co</x:v>
      </x:c>
      <x:c r="E31" s="2" t="n">
        <x:v>14</x:v>
      </x:c>
      <x:c r="F31" s="2" t="n">
        <x:v>158</x:v>
      </x:c>
      <x:c r="G31" s="2" t="n">
        <x:v>1</x:v>
      </x:c>
      <x:c r="H31" s="8" t="n">
        <x:v>165.25</x:v>
      </x:c>
      <x:c r="I31" s="9" t="n">
        <x:v>3.8</x:v>
      </x:c>
      <x:c r="J31" s="9" t="n">
        <x:v>34</x:v>
      </x:c>
      <x:c r="K31" s="9" t="n">
        <x:f>F31-G31</x:f>
        <x:v>157</x:v>
      </x:c>
      <x:c r="L31" s="9" t="n">
        <x:f>I31*E31+J31</x:f>
        <x:v>87.19999999999999</x:v>
      </x:c>
      <x:c r="M31" s="9" t="n">
        <x:f>K31/I31</x:f>
        <x:v>41.31578947368421</x:v>
      </x:c>
      <x:c r="N31" s="9" t="n">
        <x:f>ROUNDUP(MAX(0,L31+I31*30-K31),0)</x:f>
        <x:v>45</x:v>
      </x:c>
      <x:c r="O31" s="2" t="str">
        <x:f>IF(K31&lt;=L31,"REORDER","OK")</x:f>
        <x:v>OK</x:v>
      </x:c>
    </x:row>
    <x:row r="32">
      <x:c r="A32" s="2" t="str">
        <x:v>SKU-00131</x:v>
      </x:c>
      <x:c r="B32" s="2" t="str">
        <x:v>Product E-2</x:v>
      </x:c>
      <x:c r="C32" s="2" t="str">
        <x:v>Packaging</x:v>
      </x:c>
      <x:c r="D32" s="2" t="str">
        <x:v>CorePack</x:v>
      </x:c>
      <x:c r="E32" s="2" t="n">
        <x:v>17</x:v>
      </x:c>
      <x:c r="F32" s="2" t="n">
        <x:v>205</x:v>
      </x:c>
      <x:c r="G32" s="2" t="n">
        <x:v>141</x:v>
      </x:c>
      <x:c r="H32" s="8" t="n">
        <x:v>177</x:v>
      </x:c>
      <x:c r="I32" s="9" t="n">
        <x:v>6.5</x:v>
      </x:c>
      <x:c r="J32" s="9" t="n">
        <x:v>26</x:v>
      </x:c>
      <x:c r="K32" s="9" t="n">
        <x:f>F32-G32</x:f>
        <x:v>64</x:v>
      </x:c>
      <x:c r="L32" s="9" t="n">
        <x:f>I32*E32+J32</x:f>
        <x:v>136.5</x:v>
      </x:c>
      <x:c r="M32" s="9" t="n">
        <x:f>K32/I32</x:f>
        <x:v>9.846153846153847</x:v>
      </x:c>
      <x:c r="N32" s="9" t="n">
        <x:f>ROUNDUP(MAX(0,L32+I32*30-K32),0)</x:f>
        <x:v>268</x:v>
      </x:c>
      <x:c r="O32" s="2" t="str">
        <x:f>IF(K32&lt;=L32,"REORDER","OK")</x:f>
        <x:v>REORDER</x:v>
      </x:c>
    </x:row>
    <x:row r="33">
      <x:c r="A33" s="2" t="str">
        <x:v>SKU-00132</x:v>
      </x:c>
      <x:c r="B33" s="2" t="str">
        <x:v>Product F-2</x:v>
      </x:c>
      <x:c r="C33" s="2" t="str">
        <x:v>Service Parts</x:v>
      </x:c>
      <x:c r="D33" s="2" t="str">
        <x:v>Beacon Components</x:v>
      </x:c>
      <x:c r="E33" s="2" t="n">
        <x:v>20</x:v>
      </x:c>
      <x:c r="F33" s="2" t="n">
        <x:v>252</x:v>
      </x:c>
      <x:c r="G33" s="2" t="n">
        <x:v>61</x:v>
      </x:c>
      <x:c r="H33" s="8" t="n">
        <x:v>8.75</x:v>
      </x:c>
      <x:c r="I33" s="9" t="n">
        <x:v>9.2</x:v>
      </x:c>
      <x:c r="J33" s="9" t="n">
        <x:v>46</x:v>
      </x:c>
      <x:c r="K33" s="9" t="n">
        <x:f>F33-G33</x:f>
        <x:v>191</x:v>
      </x:c>
      <x:c r="L33" s="9" t="n">
        <x:f>I33*E33+J33</x:f>
        <x:v>230</x:v>
      </x:c>
      <x:c r="M33" s="9" t="n">
        <x:f>K33/I33</x:f>
        <x:v>20.760869565217394</x:v>
      </x:c>
      <x:c r="N33" s="9" t="n">
        <x:f>ROUNDUP(MAX(0,L33+I33*30-K33),0)</x:f>
        <x:v>315</x:v>
      </x:c>
      <x:c r="O33" s="2" t="str">
        <x:f>IF(K33&lt;=L33,"REORDER","OK")</x:f>
        <x:v>REORDER</x:v>
      </x:c>
    </x:row>
    <x:row r="34">
      <x:c r="A34" s="2" t="str">
        <x:v>SKU-00133</x:v>
      </x:c>
      <x:c r="B34" s="2" t="str">
        <x:v>Product G-2</x:v>
      </x:c>
      <x:c r="C34" s="2" t="str">
        <x:v>Electronics</x:v>
      </x:c>
      <x:c r="D34" s="2" t="str">
        <x:v>Apex Supply</x:v>
      </x:c>
      <x:c r="E34" s="2" t="n">
        <x:v>23</x:v>
      </x:c>
      <x:c r="F34" s="2" t="n">
        <x:v>299</x:v>
      </x:c>
      <x:c r="G34" s="2" t="n">
        <x:v>190</x:v>
      </x:c>
      <x:c r="H34" s="8" t="n">
        <x:v>20.5</x:v>
      </x:c>
      <x:c r="I34" s="9" t="n">
        <x:v>11.9</x:v>
      </x:c>
      <x:c r="J34" s="9" t="n">
        <x:v>71</x:v>
      </x:c>
      <x:c r="K34" s="9" t="n">
        <x:f>F34-G34</x:f>
        <x:v>109</x:v>
      </x:c>
      <x:c r="L34" s="9" t="n">
        <x:f>I34*E34+J34</x:f>
        <x:v>344.7</x:v>
      </x:c>
      <x:c r="M34" s="9" t="n">
        <x:f>K34/I34</x:f>
        <x:v>9.159663865546218</x:v>
      </x:c>
      <x:c r="N34" s="9" t="n">
        <x:f>ROUNDUP(MAX(0,L34+I34*30-K34),0)</x:f>
        <x:v>593</x:v>
      </x:c>
      <x:c r="O34" s="2" t="str">
        <x:f>IF(K34&lt;=L34,"REORDER","OK")</x:f>
        <x:v>REORDER</x:v>
      </x:c>
    </x:row>
    <x:row r="35">
      <x:c r="A35" s="2" t="str">
        <x:v>SKU-00134</x:v>
      </x:c>
      <x:c r="B35" s="2" t="str">
        <x:v>Product H-2</x:v>
      </x:c>
      <x:c r="C35" s="2" t="str">
        <x:v>Components</x:v>
      </x:c>
      <x:c r="D35" s="2" t="str">
        <x:v>Delta Service Co</x:v>
      </x:c>
      <x:c r="E35" s="2" t="n">
        <x:v>26</x:v>
      </x:c>
      <x:c r="F35" s="2" t="n">
        <x:v>346</x:v>
      </x:c>
      <x:c r="G35" s="2" t="n">
        <x:v>143</x:v>
      </x:c>
      <x:c r="H35" s="8" t="n">
        <x:v>32.25</x:v>
      </x:c>
      <x:c r="I35" s="9" t="n">
        <x:v>14.6</x:v>
      </x:c>
      <x:c r="J35" s="9" t="n">
        <x:v>102</x:v>
      </x:c>
      <x:c r="K35" s="9" t="n">
        <x:f>F35-G35</x:f>
        <x:v>203</x:v>
      </x:c>
      <x:c r="L35" s="9" t="n">
        <x:f>I35*E35+J35</x:f>
        <x:v>481.59999999999997</x:v>
      </x:c>
      <x:c r="M35" s="9" t="n">
        <x:f>K35/I35</x:f>
        <x:v>13.904109589041097</x:v>
      </x:c>
      <x:c r="N35" s="9" t="n">
        <x:f>ROUNDUP(MAX(0,L35+I35*30-K35),0)</x:f>
        <x:v>717</x:v>
      </x:c>
      <x:c r="O35" s="2" t="str">
        <x:f>IF(K35&lt;=L35,"REORDER","OK")</x:f>
        <x:v>REORDER</x:v>
      </x:c>
    </x:row>
    <x:row r="36">
      <x:c r="A36" s="2" t="str">
        <x:v>SKU-00135</x:v>
      </x:c>
      <x:c r="B36" s="2" t="str">
        <x:v>Product I-2</x:v>
      </x:c>
      <x:c r="C36" s="2" t="str">
        <x:v>Packaging</x:v>
      </x:c>
      <x:c r="D36" s="2" t="str">
        <x:v>CorePack</x:v>
      </x:c>
      <x:c r="E36" s="2" t="n">
        <x:v>29</x:v>
      </x:c>
      <x:c r="F36" s="2" t="n">
        <x:v>393</x:v>
      </x:c>
      <x:c r="G36" s="2" t="n">
        <x:v>96</x:v>
      </x:c>
      <x:c r="H36" s="8" t="n">
        <x:v>44</x:v>
      </x:c>
      <x:c r="I36" s="9" t="n">
        <x:v>17.3</x:v>
      </x:c>
      <x:c r="J36" s="9" t="n">
        <x:v>138</x:v>
      </x:c>
      <x:c r="K36" s="9" t="n">
        <x:f>F36-G36</x:f>
        <x:v>297</x:v>
      </x:c>
      <x:c r="L36" s="9" t="n">
        <x:f>I36*E36+J36</x:f>
        <x:v>639.7</x:v>
      </x:c>
      <x:c r="M36" s="9" t="n">
        <x:f>K36/I36</x:f>
        <x:v>17.167630057803468</x:v>
      </x:c>
      <x:c r="N36" s="9" t="n">
        <x:f>ROUNDUP(MAX(0,L36+I36*30-K36),0)</x:f>
        <x:v>862</x:v>
      </x:c>
      <x:c r="O36" s="2" t="str">
        <x:f>IF(K36&lt;=L36,"REORDER","OK")</x:f>
        <x:v>REORDER</x:v>
      </x:c>
    </x:row>
    <x:row r="37">
      <x:c r="A37" s="2" t="str">
        <x:v>SKU-00136</x:v>
      </x:c>
      <x:c r="B37" s="2" t="str">
        <x:v>Product J-2</x:v>
      </x:c>
      <x:c r="C37" s="2" t="str">
        <x:v>Service Parts</x:v>
      </x:c>
      <x:c r="D37" s="2" t="str">
        <x:v>Beacon Components</x:v>
      </x:c>
      <x:c r="E37" s="2" t="n">
        <x:v>6</x:v>
      </x:c>
      <x:c r="F37" s="2" t="n">
        <x:v>440</x:v>
      </x:c>
      <x:c r="G37" s="2" t="n">
        <x:v>49</x:v>
      </x:c>
      <x:c r="H37" s="8" t="n">
        <x:v>55.75</x:v>
      </x:c>
      <x:c r="I37" s="9" t="n">
        <x:v>20</x:v>
      </x:c>
      <x:c r="J37" s="9" t="n">
        <x:v>180</x:v>
      </x:c>
      <x:c r="K37" s="9" t="n">
        <x:f>F37-G37</x:f>
        <x:v>391</x:v>
      </x:c>
      <x:c r="L37" s="9" t="n">
        <x:f>I37*E37+J37</x:f>
        <x:v>300</x:v>
      </x:c>
      <x:c r="M37" s="9" t="n">
        <x:f>K37/I37</x:f>
        <x:v>19.55</x:v>
      </x:c>
      <x:c r="N37" s="9" t="n">
        <x:f>ROUNDUP(MAX(0,L37+I37*30-K37),0)</x:f>
        <x:v>509</x:v>
      </x:c>
      <x:c r="O37" s="2" t="str">
        <x:f>IF(K37&lt;=L37,"REORDER","OK")</x:f>
        <x:v>OK</x:v>
      </x:c>
    </x:row>
  </x:sheetData>
  <x:conditionalFormatting sqref="O2:O37">
    <x:cfRule type="containsText" dxfId="0" priority="1" operator="containsText" text="REORDER"/>
  </x:conditionalFormatting>
  <x:conditionalFormatting sqref="M2:M37">
    <x:cfRule type="colorScale" priority="2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dataValidations count="3">
    <x:dataValidation type="list" sqref="C2:C37">
      <x:formula1>"Electronics,Components,Packaging,Service Parts"</x:formula1>
    </x:dataValidation>
    <x:dataValidation type="list" sqref="D2:D37">
      <x:formula1>"Apex Supply,Beacon Components,CorePack,Delta Service Co"</x:formula1>
    </x:dataValidation>
    <x:dataValidation type="whole" operator="between" sqref="E2:E37">
      <x:formula1>1</x:formula1>
      <x:formula2>90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13024563989452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2">
      <x:c r="A2" s="18" t="str">
        <x:v>Purchase plan</x:v>
      </x:c>
      <x:c r="B2" s="18"/>
      <x:c r="C2" s="18"/>
      <x:c r="D2" s="18"/>
      <x:c r="E2" s="18"/>
      <x:c r="F2" s="18"/>
      <x:c r="G2" s="18"/>
      <x:c r="H2" s="18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6" t="str">
        <x:v>SKU</x:v>
      </x:c>
      <x:c r="B4" s="6" t="str">
        <x:v>Product</x:v>
      </x:c>
      <x:c r="C4" s="6" t="str">
        <x:v>Supplier</x:v>
      </x:c>
      <x:c r="D4" s="6" t="str">
        <x:v>Status</x:v>
      </x:c>
      <x:c r="E4" s="6" t="str">
        <x:v>Recommended Qty</x:v>
      </x:c>
      <x:c r="F4" s="6" t="str">
        <x:v>Unit Cost</x:v>
      </x:c>
      <x:c r="G4" s="6" t="str">
        <x:v>Order Cost</x:v>
      </x:c>
      <x:c r="H4" s="6" t="str">
        <x:v>Buyer Review</x:v>
      </x:c>
    </x:row>
    <x:row r="5">
      <x:c r="A5" s="2" t="str">
        <x:f>'Inventory'!A2</x:f>
        <x:v>SKU-00101</x:v>
      </x:c>
      <x:c r="B5" s="2" t="str">
        <x:f>'Inventory'!B2</x:f>
        <x:v>Product A-1</x:v>
      </x:c>
      <x:c r="C5" s="2" t="str">
        <x:f>'Inventory'!D2</x:f>
        <x:v>Apex Supply</x:v>
      </x:c>
      <x:c r="D5" s="2" t="str">
        <x:f>'Inventory'!O2</x:f>
        <x:v>OK</x:v>
      </x:c>
      <x:c r="E5" s="2" t="n">
        <x:f>'Inventory'!N2</x:f>
        <x:v>24</x:v>
      </x:c>
      <x:c r="F5" s="8" t="n">
        <x:f>'Inventory'!H2</x:f>
        <x:v>4.5</x:v>
      </x:c>
      <x:c r="G5" s="8" t="n">
        <x:f>E5*F5</x:f>
        <x:v>108</x:v>
      </x:c>
      <x:c r="H5" s="2" t="str">
        <x:v>No action</x:v>
      </x:c>
    </x:row>
    <x:row r="6">
      <x:c r="A6" s="2" t="str">
        <x:f>'Inventory'!A3</x:f>
        <x:v>SKU-00102</x:v>
      </x:c>
      <x:c r="B6" s="2" t="str">
        <x:f>'Inventory'!B3</x:f>
        <x:v>Product B-1</x:v>
      </x:c>
      <x:c r="C6" s="2" t="str">
        <x:f>'Inventory'!D3</x:f>
        <x:v>Delta Service Co</x:v>
      </x:c>
      <x:c r="D6" s="2" t="str">
        <x:f>'Inventory'!O3</x:f>
        <x:v>OK</x:v>
      </x:c>
      <x:c r="E6" s="2" t="n">
        <x:f>'Inventory'!N3</x:f>
        <x:v>118</x:v>
      </x:c>
      <x:c r="F6" s="8" t="n">
        <x:f>'Inventory'!H3</x:f>
        <x:v>16.25</x:v>
      </x:c>
      <x:c r="G6" s="8" t="n">
        <x:f>E6*F6</x:f>
        <x:v>1917.5</x:v>
      </x:c>
      <x:c r="H6" s="2" t="str">
        <x:v>No action</x:v>
      </x:c>
    </x:row>
    <x:row r="7">
      <x:c r="A7" s="2" t="str">
        <x:f>'Inventory'!A4</x:f>
        <x:v>SKU-00103</x:v>
      </x:c>
      <x:c r="B7" s="2" t="str">
        <x:f>'Inventory'!B4</x:f>
        <x:v>Product C-1</x:v>
      </x:c>
      <x:c r="C7" s="2" t="str">
        <x:f>'Inventory'!D4</x:f>
        <x:v>CorePack</x:v>
      </x:c>
      <x:c r="D7" s="2" t="str">
        <x:f>'Inventory'!O4</x:f>
        <x:v>REORDER</x:v>
      </x:c>
      <x:c r="E7" s="2" t="n">
        <x:f>'Inventory'!N4</x:f>
        <x:v>233</x:v>
      </x:c>
      <x:c r="F7" s="8" t="n">
        <x:f>'Inventory'!H4</x:f>
        <x:v>28</x:v>
      </x:c>
      <x:c r="G7" s="8" t="n">
        <x:f>E7*F7</x:f>
        <x:v>6524</x:v>
      </x:c>
      <x:c r="H7" s="2" t="str">
        <x:v>Review order</x:v>
      </x:c>
    </x:row>
    <x:row r="8">
      <x:c r="A8" s="2" t="str">
        <x:f>'Inventory'!A5</x:f>
        <x:v>SKU-00104</x:v>
      </x:c>
      <x:c r="B8" s="2" t="str">
        <x:f>'Inventory'!B5</x:f>
        <x:v>Product D-1</x:v>
      </x:c>
      <x:c r="C8" s="2" t="str">
        <x:f>'Inventory'!D5</x:f>
        <x:v>Beacon Components</x:v>
      </x:c>
      <x:c r="D8" s="2" t="str">
        <x:f>'Inventory'!O5</x:f>
        <x:v>REORDER</x:v>
      </x:c>
      <x:c r="E8" s="2" t="n">
        <x:f>'Inventory'!N5</x:f>
        <x:v>371</x:v>
      </x:c>
      <x:c r="F8" s="8" t="n">
        <x:f>'Inventory'!H5</x:f>
        <x:v>39.75</x:v>
      </x:c>
      <x:c r="G8" s="8" t="n">
        <x:f>E8*F8</x:f>
        <x:v>14747.25</x:v>
      </x:c>
      <x:c r="H8" s="2" t="str">
        <x:v>Review order</x:v>
      </x:c>
    </x:row>
    <x:row r="9">
      <x:c r="A9" s="2" t="str">
        <x:f>'Inventory'!A6</x:f>
        <x:v>SKU-00105</x:v>
      </x:c>
      <x:c r="B9" s="2" t="str">
        <x:f>'Inventory'!B6</x:f>
        <x:v>Product E-1</x:v>
      </x:c>
      <x:c r="C9" s="2" t="str">
        <x:f>'Inventory'!D6</x:f>
        <x:v>Apex Supply</x:v>
      </x:c>
      <x:c r="D9" s="2" t="str">
        <x:f>'Inventory'!O6</x:f>
        <x:v>REORDER</x:v>
      </x:c>
      <x:c r="E9" s="2" t="n">
        <x:f>'Inventory'!N6</x:f>
        <x:v>530</x:v>
      </x:c>
      <x:c r="F9" s="8" t="n">
        <x:f>'Inventory'!H6</x:f>
        <x:v>51.5</x:v>
      </x:c>
      <x:c r="G9" s="8" t="n">
        <x:f>E9*F9</x:f>
        <x:v>27295</x:v>
      </x:c>
      <x:c r="H9" s="2" t="str">
        <x:v>Review order</x:v>
      </x:c>
    </x:row>
    <x:row r="10">
      <x:c r="A10" s="2" t="str">
        <x:f>'Inventory'!A7</x:f>
        <x:v>SKU-00106</x:v>
      </x:c>
      <x:c r="B10" s="2" t="str">
        <x:f>'Inventory'!B7</x:f>
        <x:v>Product F-1</x:v>
      </x:c>
      <x:c r="C10" s="2" t="str">
        <x:f>'Inventory'!D7</x:f>
        <x:v>Delta Service Co</x:v>
      </x:c>
      <x:c r="D10" s="2" t="str">
        <x:f>'Inventory'!O7</x:f>
        <x:v>REORDER</x:v>
      </x:c>
      <x:c r="E10" s="2" t="n">
        <x:f>'Inventory'!N7</x:f>
        <x:v>710</x:v>
      </x:c>
      <x:c r="F10" s="8" t="n">
        <x:f>'Inventory'!H7</x:f>
        <x:v>63.25</x:v>
      </x:c>
      <x:c r="G10" s="8" t="n">
        <x:f>E10*F10</x:f>
        <x:v>44907.5</x:v>
      </x:c>
      <x:c r="H10" s="2" t="str">
        <x:v>Review order</x:v>
      </x:c>
    </x:row>
    <x:row r="11">
      <x:c r="A11" s="2" t="str">
        <x:f>'Inventory'!A8</x:f>
        <x:v>SKU-00107</x:v>
      </x:c>
      <x:c r="B11" s="2" t="str">
        <x:f>'Inventory'!B8</x:f>
        <x:v>Product G-1</x:v>
      </x:c>
      <x:c r="C11" s="2" t="str">
        <x:f>'Inventory'!D8</x:f>
        <x:v>CorePack</x:v>
      </x:c>
      <x:c r="D11" s="2" t="str">
        <x:f>'Inventory'!O8</x:f>
        <x:v>REORDER</x:v>
      </x:c>
      <x:c r="E11" s="2" t="n">
        <x:f>'Inventory'!N8</x:f>
        <x:v>807</x:v>
      </x:c>
      <x:c r="F11" s="8" t="n">
        <x:f>'Inventory'!H8</x:f>
        <x:v>75</x:v>
      </x:c>
      <x:c r="G11" s="8" t="n">
        <x:f>E11*F11</x:f>
        <x:v>60525</x:v>
      </x:c>
      <x:c r="H11" s="2" t="str">
        <x:v>Review order</x:v>
      </x:c>
    </x:row>
    <x:row r="12">
      <x:c r="A12" s="2" t="str">
        <x:f>'Inventory'!A9</x:f>
        <x:v>SKU-00108</x:v>
      </x:c>
      <x:c r="B12" s="2" t="str">
        <x:f>'Inventory'!B9</x:f>
        <x:v>Product H-1</x:v>
      </x:c>
      <x:c r="C12" s="2" t="str">
        <x:f>'Inventory'!D9</x:f>
        <x:v>Beacon Components</x:v>
      </x:c>
      <x:c r="D12" s="2" t="str">
        <x:f>'Inventory'!O9</x:f>
        <x:v>REORDER</x:v>
      </x:c>
      <x:c r="E12" s="2" t="n">
        <x:f>'Inventory'!N9</x:f>
        <x:v>1014</x:v>
      </x:c>
      <x:c r="F12" s="8" t="n">
        <x:f>'Inventory'!H9</x:f>
        <x:v>86.75</x:v>
      </x:c>
      <x:c r="G12" s="8" t="n">
        <x:f>E12*F12</x:f>
        <x:v>87964.5</x:v>
      </x:c>
      <x:c r="H12" s="2" t="str">
        <x:v>Review order</x:v>
      </x:c>
    </x:row>
    <x:row r="13">
      <x:c r="A13" s="2" t="str">
        <x:f>'Inventory'!A10</x:f>
        <x:v>SKU-00109</x:v>
      </x:c>
      <x:c r="B13" s="2" t="str">
        <x:f>'Inventory'!B10</x:f>
        <x:v>Product I-1</x:v>
      </x:c>
      <x:c r="C13" s="2" t="str">
        <x:f>'Inventory'!D10</x:f>
        <x:v>Apex Supply</x:v>
      </x:c>
      <x:c r="D13" s="2" t="str">
        <x:f>'Inventory'!O10</x:f>
        <x:v>REORDER</x:v>
      </x:c>
      <x:c r="E13" s="2" t="n">
        <x:f>'Inventory'!N10</x:f>
        <x:v>1243</x:v>
      </x:c>
      <x:c r="F13" s="8" t="n">
        <x:f>'Inventory'!H10</x:f>
        <x:v>98.5</x:v>
      </x:c>
      <x:c r="G13" s="8" t="n">
        <x:f>E13*F13</x:f>
        <x:v>122435.5</x:v>
      </x:c>
      <x:c r="H13" s="2" t="str">
        <x:v>Review order</x:v>
      </x:c>
    </x:row>
    <x:row r="14">
      <x:c r="A14" s="2" t="str">
        <x:f>'Inventory'!A11</x:f>
        <x:v>SKU-00110</x:v>
      </x:c>
      <x:c r="B14" s="2" t="str">
        <x:f>'Inventory'!B11</x:f>
        <x:v>Product J-1</x:v>
      </x:c>
      <x:c r="C14" s="2" t="str">
        <x:f>'Inventory'!D11</x:f>
        <x:v>Delta Service Co</x:v>
      </x:c>
      <x:c r="D14" s="2" t="str">
        <x:f>'Inventory'!O11</x:f>
        <x:v>REORDER</x:v>
      </x:c>
      <x:c r="E14" s="2" t="n">
        <x:f>'Inventory'!N11</x:f>
        <x:v>823</x:v>
      </x:c>
      <x:c r="F14" s="8" t="n">
        <x:f>'Inventory'!H11</x:f>
        <x:v>110.25</x:v>
      </x:c>
      <x:c r="G14" s="8" t="n">
        <x:f>E14*F14</x:f>
        <x:v>90735.75</x:v>
      </x:c>
      <x:c r="H14" s="2" t="str">
        <x:v>Review order</x:v>
      </x:c>
    </x:row>
    <x:row r="15">
      <x:c r="A15" s="2" t="str">
        <x:f>'Inventory'!A12</x:f>
        <x:v>SKU-00111</x:v>
      </x:c>
      <x:c r="B15" s="2" t="str">
        <x:f>'Inventory'!B12</x:f>
        <x:v>Product K-1</x:v>
      </x:c>
      <x:c r="C15" s="2" t="str">
        <x:f>'Inventory'!D12</x:f>
        <x:v>CorePack</x:v>
      </x:c>
      <x:c r="D15" s="2" t="str">
        <x:f>'Inventory'!O12</x:f>
        <x:v>REORDER</x:v>
      </x:c>
      <x:c r="E15" s="2" t="n">
        <x:f>'Inventory'!N12</x:f>
        <x:v>1025</x:v>
      </x:c>
      <x:c r="F15" s="8" t="n">
        <x:f>'Inventory'!H12</x:f>
        <x:v>122</x:v>
      </x:c>
      <x:c r="G15" s="8" t="n">
        <x:f>E15*F15</x:f>
        <x:v>125050</x:v>
      </x:c>
      <x:c r="H15" s="2" t="str">
        <x:v>Review order</x:v>
      </x:c>
    </x:row>
    <x:row r="16">
      <x:c r="A16" s="2" t="str">
        <x:f>'Inventory'!A13</x:f>
        <x:v>SKU-00112</x:v>
      </x:c>
      <x:c r="B16" s="2" t="str">
        <x:f>'Inventory'!B13</x:f>
        <x:v>Product L-1</x:v>
      </x:c>
      <x:c r="C16" s="2" t="str">
        <x:f>'Inventory'!D13</x:f>
        <x:v>Beacon Components</x:v>
      </x:c>
      <x:c r="D16" s="2" t="str">
        <x:f>'Inventory'!O13</x:f>
        <x:v>REORDER</x:v>
      </x:c>
      <x:c r="E16" s="2" t="n">
        <x:f>'Inventory'!N13</x:f>
        <x:v>1249</x:v>
      </x:c>
      <x:c r="F16" s="8" t="n">
        <x:f>'Inventory'!H13</x:f>
        <x:v>133.75</x:v>
      </x:c>
      <x:c r="G16" s="8" t="n">
        <x:f>E16*F16</x:f>
        <x:v>167053.75</x:v>
      </x:c>
      <x:c r="H16" s="2" t="str">
        <x:v>Review order</x:v>
      </x:c>
    </x:row>
    <x:row r="17">
      <x:c r="A17" s="2" t="str">
        <x:f>'Inventory'!A14</x:f>
        <x:v>SKU-00113</x:v>
      </x:c>
      <x:c r="B17" s="2" t="str">
        <x:f>'Inventory'!B14</x:f>
        <x:v>Product M-1</x:v>
      </x:c>
      <x:c r="C17" s="2" t="str">
        <x:f>'Inventory'!D14</x:f>
        <x:v>Apex Supply</x:v>
      </x:c>
      <x:c r="D17" s="2" t="str">
        <x:f>'Inventory'!O14</x:f>
        <x:v>REORDER</x:v>
      </x:c>
      <x:c r="E17" s="2" t="n">
        <x:f>'Inventory'!N14</x:f>
        <x:v>1291</x:v>
      </x:c>
      <x:c r="F17" s="8" t="n">
        <x:f>'Inventory'!H14</x:f>
        <x:v>145.5</x:v>
      </x:c>
      <x:c r="G17" s="8" t="n">
        <x:f>E17*F17</x:f>
        <x:v>187840.5</x:v>
      </x:c>
      <x:c r="H17" s="2" t="str">
        <x:v>Review order</x:v>
      </x:c>
    </x:row>
    <x:row r="18">
      <x:c r="A18" s="2" t="str">
        <x:f>'Inventory'!A15</x:f>
        <x:v>SKU-00114</x:v>
      </x:c>
      <x:c r="B18" s="2" t="str">
        <x:f>'Inventory'!B15</x:f>
        <x:v>Product N-1</x:v>
      </x:c>
      <x:c r="C18" s="2" t="str">
        <x:f>'Inventory'!D15</x:f>
        <x:v>Delta Service Co</x:v>
      </x:c>
      <x:c r="D18" s="2" t="str">
        <x:f>'Inventory'!O15</x:f>
        <x:v>REORDER</x:v>
      </x:c>
      <x:c r="E18" s="2" t="n">
        <x:f>'Inventory'!N15</x:f>
        <x:v>1541</x:v>
      </x:c>
      <x:c r="F18" s="8" t="n">
        <x:f>'Inventory'!H15</x:f>
        <x:v>157.25</x:v>
      </x:c>
      <x:c r="G18" s="8" t="n">
        <x:f>E18*F18</x:f>
        <x:v>242322.25</x:v>
      </x:c>
      <x:c r="H18" s="2" t="str">
        <x:v>Review order</x:v>
      </x:c>
    </x:row>
    <x:row r="19">
      <x:c r="A19" s="2" t="str">
        <x:f>'Inventory'!A16</x:f>
        <x:v>SKU-00115</x:v>
      </x:c>
      <x:c r="B19" s="2" t="str">
        <x:f>'Inventory'!B16</x:f>
        <x:v>Product O-1</x:v>
      </x:c>
      <x:c r="C19" s="2" t="str">
        <x:f>'Inventory'!D16</x:f>
        <x:v>CorePack</x:v>
      </x:c>
      <x:c r="D19" s="2" t="str">
        <x:f>'Inventory'!O16</x:f>
        <x:v>REORDER</x:v>
      </x:c>
      <x:c r="E19" s="2" t="n">
        <x:f>'Inventory'!N16</x:f>
        <x:v>2179</x:v>
      </x:c>
      <x:c r="F19" s="8" t="n">
        <x:f>'Inventory'!H16</x:f>
        <x:v>169</x:v>
      </x:c>
      <x:c r="G19" s="8" t="n">
        <x:f>E19*F19</x:f>
        <x:v>368251</x:v>
      </x:c>
      <x:c r="H19" s="2" t="str">
        <x:v>Review order</x:v>
      </x:c>
    </x:row>
    <x:row r="20">
      <x:c r="A20" s="2" t="str">
        <x:f>'Inventory'!A17</x:f>
        <x:v>SKU-00116</x:v>
      </x:c>
      <x:c r="B20" s="2" t="str">
        <x:f>'Inventory'!B17</x:f>
        <x:v>Product P-1</x:v>
      </x:c>
      <x:c r="C20" s="2" t="str">
        <x:f>'Inventory'!D17</x:f>
        <x:v>Beacon Components</x:v>
      </x:c>
      <x:c r="D20" s="2" t="str">
        <x:f>'Inventory'!O17</x:f>
        <x:v>REORDER</x:v>
      </x:c>
      <x:c r="E20" s="2" t="n">
        <x:f>'Inventory'!N17</x:f>
        <x:v>157</x:v>
      </x:c>
      <x:c r="F20" s="8" t="n">
        <x:f>'Inventory'!H17</x:f>
        <x:v>180.75</x:v>
      </x:c>
      <x:c r="G20" s="8" t="n">
        <x:f>E20*F20</x:f>
        <x:v>28377.75</x:v>
      </x:c>
      <x:c r="H20" s="2" t="str">
        <x:v>Review order</x:v>
      </x:c>
    </x:row>
    <x:row r="21">
      <x:c r="A21" s="2" t="str">
        <x:f>'Inventory'!A18</x:f>
        <x:v>SKU-00117</x:v>
      </x:c>
      <x:c r="B21" s="2" t="str">
        <x:f>'Inventory'!B18</x:f>
        <x:v>Product Q-1</x:v>
      </x:c>
      <x:c r="C21" s="2" t="str">
        <x:f>'Inventory'!D18</x:f>
        <x:v>Apex Supply</x:v>
      </x:c>
      <x:c r="D21" s="2" t="str">
        <x:f>'Inventory'!O18</x:f>
        <x:v>REORDER</x:v>
      </x:c>
      <x:c r="E21" s="2" t="n">
        <x:f>'Inventory'!N18</x:f>
        <x:v>341</x:v>
      </x:c>
      <x:c r="F21" s="8" t="n">
        <x:f>'Inventory'!H18</x:f>
        <x:v>12.5</x:v>
      </x:c>
      <x:c r="G21" s="8" t="n">
        <x:f>E21*F21</x:f>
        <x:v>4262.5</x:v>
      </x:c>
      <x:c r="H21" s="2" t="str">
        <x:v>Review order</x:v>
      </x:c>
    </x:row>
    <x:row r="22">
      <x:c r="A22" s="2" t="str">
        <x:f>'Inventory'!A19</x:f>
        <x:v>SKU-00118</x:v>
      </x:c>
      <x:c r="B22" s="2" t="str">
        <x:f>'Inventory'!B19</x:f>
        <x:v>Product R-1</x:v>
      </x:c>
      <x:c r="C22" s="2" t="str">
        <x:f>'Inventory'!D19</x:f>
        <x:v>Delta Service Co</x:v>
      </x:c>
      <x:c r="D22" s="2" t="str">
        <x:f>'Inventory'!O19</x:f>
        <x:v>REORDER</x:v>
      </x:c>
      <x:c r="E22" s="2" t="n">
        <x:f>'Inventory'!N19</x:f>
        <x:v>460</x:v>
      </x:c>
      <x:c r="F22" s="8" t="n">
        <x:f>'Inventory'!H19</x:f>
        <x:v>24.25</x:v>
      </x:c>
      <x:c r="G22" s="8" t="n">
        <x:f>E22*F22</x:f>
        <x:v>11155</x:v>
      </x:c>
      <x:c r="H22" s="2" t="str">
        <x:v>Review order</x:v>
      </x:c>
    </x:row>
    <x:row r="23">
      <x:c r="A23" s="2" t="str">
        <x:f>'Inventory'!A20</x:f>
        <x:v>SKU-00119</x:v>
      </x:c>
      <x:c r="B23" s="2" t="str">
        <x:f>'Inventory'!B20</x:f>
        <x:v>Product S-1</x:v>
      </x:c>
      <x:c r="C23" s="2" t="str">
        <x:f>'Inventory'!D20</x:f>
        <x:v>CorePack</x:v>
      </x:c>
      <x:c r="D23" s="2" t="str">
        <x:f>'Inventory'!O20</x:f>
        <x:v>REORDER</x:v>
      </x:c>
      <x:c r="E23" s="2" t="n">
        <x:f>'Inventory'!N20</x:f>
        <x:v>395</x:v>
      </x:c>
      <x:c r="F23" s="8" t="n">
        <x:f>'Inventory'!H20</x:f>
        <x:v>36</x:v>
      </x:c>
      <x:c r="G23" s="8" t="n">
        <x:f>E23*F23</x:f>
        <x:v>14220</x:v>
      </x:c>
      <x:c r="H23" s="2" t="str">
        <x:v>Review order</x:v>
      </x:c>
    </x:row>
    <x:row r="24">
      <x:c r="A24" s="2" t="str">
        <x:f>'Inventory'!A21</x:f>
        <x:v>SKU-00120</x:v>
      </x:c>
      <x:c r="B24" s="2" t="str">
        <x:f>'Inventory'!B21</x:f>
        <x:v>Product T-1</x:v>
      </x:c>
      <x:c r="C24" s="2" t="str">
        <x:f>'Inventory'!D21</x:f>
        <x:v>Beacon Components</x:v>
      </x:c>
      <x:c r="D24" s="2" t="str">
        <x:f>'Inventory'!O21</x:f>
        <x:v>REORDER</x:v>
      </x:c>
      <x:c r="E24" s="2" t="n">
        <x:f>'Inventory'!N21</x:f>
        <x:v>504</x:v>
      </x:c>
      <x:c r="F24" s="8" t="n">
        <x:f>'Inventory'!H21</x:f>
        <x:v>47.75</x:v>
      </x:c>
      <x:c r="G24" s="8" t="n">
        <x:f>E24*F24</x:f>
        <x:v>24066</x:v>
      </x:c>
      <x:c r="H24" s="2" t="str">
        <x:v>Review order</x:v>
      </x:c>
    </x:row>
    <x:row r="25">
      <x:c r="A25" s="2" t="str">
        <x:f>'Inventory'!A22</x:f>
        <x:v>SKU-00121</x:v>
      </x:c>
      <x:c r="B25" s="2" t="str">
        <x:f>'Inventory'!B22</x:f>
        <x:v>Product U-1</x:v>
      </x:c>
      <x:c r="C25" s="2" t="str">
        <x:f>'Inventory'!D22</x:f>
        <x:v>Apex Supply</x:v>
      </x:c>
      <x:c r="D25" s="2" t="str">
        <x:f>'Inventory'!O22</x:f>
        <x:v>REORDER</x:v>
      </x:c>
      <x:c r="E25" s="2" t="n">
        <x:f>'Inventory'!N22</x:f>
        <x:v>635</x:v>
      </x:c>
      <x:c r="F25" s="8" t="n">
        <x:f>'Inventory'!H22</x:f>
        <x:v>59.5</x:v>
      </x:c>
      <x:c r="G25" s="8" t="n">
        <x:f>E25*F25</x:f>
        <x:v>37782.5</x:v>
      </x:c>
      <x:c r="H25" s="2" t="str">
        <x:v>Review order</x:v>
      </x:c>
    </x:row>
    <x:row r="26">
      <x:c r="A26" s="2" t="str">
        <x:f>'Inventory'!A23</x:f>
        <x:v>SKU-00122</x:v>
      </x:c>
      <x:c r="B26" s="2" t="str">
        <x:f>'Inventory'!B23</x:f>
        <x:v>Product V-1</x:v>
      </x:c>
      <x:c r="C26" s="2" t="str">
        <x:f>'Inventory'!D23</x:f>
        <x:v>Delta Service Co</x:v>
      </x:c>
      <x:c r="D26" s="2" t="str">
        <x:f>'Inventory'!O23</x:f>
        <x:v>REORDER</x:v>
      </x:c>
      <x:c r="E26" s="2" t="n">
        <x:f>'Inventory'!N23</x:f>
        <x:v>787</x:v>
      </x:c>
      <x:c r="F26" s="8" t="n">
        <x:f>'Inventory'!H23</x:f>
        <x:v>71.25</x:v>
      </x:c>
      <x:c r="G26" s="8" t="n">
        <x:f>E26*F26</x:f>
        <x:v>56073.75</x:v>
      </x:c>
      <x:c r="H26" s="2" t="str">
        <x:v>Review order</x:v>
      </x:c>
    </x:row>
    <x:row r="27">
      <x:c r="A27" s="2" t="str">
        <x:f>'Inventory'!A24</x:f>
        <x:v>SKU-00123</x:v>
      </x:c>
      <x:c r="B27" s="2" t="str">
        <x:f>'Inventory'!B24</x:f>
        <x:v>Product W-1</x:v>
      </x:c>
      <x:c r="C27" s="2" t="str">
        <x:f>'Inventory'!D24</x:f>
        <x:v>CorePack</x:v>
      </x:c>
      <x:c r="D27" s="2" t="str">
        <x:f>'Inventory'!O24</x:f>
        <x:v>REORDER</x:v>
      </x:c>
      <x:c r="E27" s="2" t="n">
        <x:f>'Inventory'!N24</x:f>
        <x:v>961</x:v>
      </x:c>
      <x:c r="F27" s="8" t="n">
        <x:f>'Inventory'!H24</x:f>
        <x:v>83</x:v>
      </x:c>
      <x:c r="G27" s="8" t="n">
        <x:f>E27*F27</x:f>
        <x:v>79763</x:v>
      </x:c>
      <x:c r="H27" s="2" t="str">
        <x:v>Review order</x:v>
      </x:c>
    </x:row>
    <x:row r="28">
      <x:c r="A28" s="2" t="str">
        <x:f>'Inventory'!A25</x:f>
        <x:v>SKU-00124</x:v>
      </x:c>
      <x:c r="B28" s="2" t="str">
        <x:f>'Inventory'!B25</x:f>
        <x:v>Product X-1</x:v>
      </x:c>
      <x:c r="C28" s="2" t="str">
        <x:f>'Inventory'!D25</x:f>
        <x:v>Beacon Components</x:v>
      </x:c>
      <x:c r="D28" s="2" t="str">
        <x:f>'Inventory'!O25</x:f>
        <x:v>REORDER</x:v>
      </x:c>
      <x:c r="E28" s="2" t="n">
        <x:f>'Inventory'!N25</x:f>
        <x:v>1156</x:v>
      </x:c>
      <x:c r="F28" s="8" t="n">
        <x:f>'Inventory'!H25</x:f>
        <x:v>94.75</x:v>
      </x:c>
      <x:c r="G28" s="8" t="n">
        <x:f>E28*F28</x:f>
        <x:v>109531</x:v>
      </x:c>
      <x:c r="H28" s="2" t="str">
        <x:v>Review order</x:v>
      </x:c>
    </x:row>
    <x:row r="29">
      <x:c r="A29" s="2" t="str">
        <x:f>'Inventory'!A26</x:f>
        <x:v>SKU-00125</x:v>
      </x:c>
      <x:c r="B29" s="2" t="str">
        <x:f>'Inventory'!B26</x:f>
        <x:v>Product Y-1</x:v>
      </x:c>
      <x:c r="C29" s="2" t="str">
        <x:f>'Inventory'!D26</x:f>
        <x:v>Apex Supply</x:v>
      </x:c>
      <x:c r="D29" s="2" t="str">
        <x:f>'Inventory'!O26</x:f>
        <x:v>REORDER</x:v>
      </x:c>
      <x:c r="E29" s="2" t="n">
        <x:f>'Inventory'!N26</x:f>
        <x:v>1203</x:v>
      </x:c>
      <x:c r="F29" s="8" t="n">
        <x:f>'Inventory'!H26</x:f>
        <x:v>106.5</x:v>
      </x:c>
      <x:c r="G29" s="8" t="n">
        <x:f>E29*F29</x:f>
        <x:v>128119.5</x:v>
      </x:c>
      <x:c r="H29" s="2" t="str">
        <x:v>Review order</x:v>
      </x:c>
    </x:row>
    <x:row r="30">
      <x:c r="A30" s="2" t="str">
        <x:f>'Inventory'!A27</x:f>
        <x:v>SKU-00126</x:v>
      </x:c>
      <x:c r="B30" s="2" t="str">
        <x:f>'Inventory'!B27</x:f>
        <x:v>Product Z-1</x:v>
      </x:c>
      <x:c r="C30" s="2" t="str">
        <x:f>'Inventory'!D27</x:f>
        <x:v>Delta Service Co</x:v>
      </x:c>
      <x:c r="D30" s="2" t="str">
        <x:f>'Inventory'!O27</x:f>
        <x:v>REORDER</x:v>
      </x:c>
      <x:c r="E30" s="2" t="n">
        <x:f>'Inventory'!N27</x:f>
        <x:v>1425</x:v>
      </x:c>
      <x:c r="F30" s="8" t="n">
        <x:f>'Inventory'!H27</x:f>
        <x:v>118.25</x:v>
      </x:c>
      <x:c r="G30" s="8" t="n">
        <x:f>E30*F30</x:f>
        <x:v>168506.25</x:v>
      </x:c>
      <x:c r="H30" s="2" t="str">
        <x:v>Review order</x:v>
      </x:c>
    </x:row>
    <x:row r="31">
      <x:c r="A31" s="2" t="str">
        <x:f>'Inventory'!A28</x:f>
        <x:v>SKU-00127</x:v>
      </x:c>
      <x:c r="B31" s="2" t="str">
        <x:f>'Inventory'!B28</x:f>
        <x:v>Product A-2</x:v>
      </x:c>
      <x:c r="C31" s="2" t="str">
        <x:f>'Inventory'!D28</x:f>
        <x:v>CorePack</x:v>
      </x:c>
      <x:c r="D31" s="2" t="str">
        <x:f>'Inventory'!O28</x:f>
        <x:v>OK</x:v>
      </x:c>
      <x:c r="E31" s="2" t="n">
        <x:f>'Inventory'!N28</x:f>
        <x:v>794</x:v>
      </x:c>
      <x:c r="F31" s="8" t="n">
        <x:f>'Inventory'!H28</x:f>
        <x:v>130</x:v>
      </x:c>
      <x:c r="G31" s="8" t="n">
        <x:f>E31*F31</x:f>
        <x:v>103220</x:v>
      </x:c>
      <x:c r="H31" s="2" t="str">
        <x:v>No action</x:v>
      </x:c>
    </x:row>
    <x:row r="32">
      <x:c r="A32" s="2" t="str">
        <x:f>'Inventory'!A29</x:f>
        <x:v>SKU-00128</x:v>
      </x:c>
      <x:c r="B32" s="2" t="str">
        <x:f>'Inventory'!B29</x:f>
        <x:v>Product B-2</x:v>
      </x:c>
      <x:c r="C32" s="2" t="str">
        <x:f>'Inventory'!D29</x:f>
        <x:v>Beacon Components</x:v>
      </x:c>
      <x:c r="D32" s="2" t="str">
        <x:f>'Inventory'!O29</x:f>
        <x:v>REORDER</x:v>
      </x:c>
      <x:c r="E32" s="2" t="n">
        <x:f>'Inventory'!N29</x:f>
        <x:v>1604</x:v>
      </x:c>
      <x:c r="F32" s="8" t="n">
        <x:f>'Inventory'!H29</x:f>
        <x:v>141.75</x:v>
      </x:c>
      <x:c r="G32" s="8" t="n">
        <x:f>E32*F32</x:f>
        <x:v>227367</x:v>
      </x:c>
      <x:c r="H32" s="2" t="str">
        <x:v>Review order</x:v>
      </x:c>
    </x:row>
    <x:row r="33">
      <x:c r="A33" s="2" t="str">
        <x:f>'Inventory'!A30</x:f>
        <x:v>SKU-00129</x:v>
      </x:c>
      <x:c r="B33" s="2" t="str">
        <x:f>'Inventory'!B30</x:f>
        <x:v>Product C-2</x:v>
      </x:c>
      <x:c r="C33" s="2" t="str">
        <x:f>'Inventory'!D30</x:f>
        <x:v>Apex Supply</x:v>
      </x:c>
      <x:c r="D33" s="2" t="str">
        <x:f>'Inventory'!O30</x:f>
        <x:v>REORDER</x:v>
      </x:c>
      <x:c r="E33" s="2" t="n">
        <x:f>'Inventory'!N30</x:f>
        <x:v>1876</x:v>
      </x:c>
      <x:c r="F33" s="8" t="n">
        <x:f>'Inventory'!H30</x:f>
        <x:v>153.5</x:v>
      </x:c>
      <x:c r="G33" s="8" t="n">
        <x:f>E33*F33</x:f>
        <x:v>287966</x:v>
      </x:c>
      <x:c r="H33" s="2" t="str">
        <x:v>Review order</x:v>
      </x:c>
    </x:row>
    <x:row r="34">
      <x:c r="A34" s="2" t="str">
        <x:f>'Inventory'!A31</x:f>
        <x:v>SKU-00130</x:v>
      </x:c>
      <x:c r="B34" s="2" t="str">
        <x:f>'Inventory'!B31</x:f>
        <x:v>Product D-2</x:v>
      </x:c>
      <x:c r="C34" s="2" t="str">
        <x:f>'Inventory'!D31</x:f>
        <x:v>Delta Service Co</x:v>
      </x:c>
      <x:c r="D34" s="2" t="str">
        <x:f>'Inventory'!O31</x:f>
        <x:v>OK</x:v>
      </x:c>
      <x:c r="E34" s="2" t="n">
        <x:f>'Inventory'!N31</x:f>
        <x:v>45</x:v>
      </x:c>
      <x:c r="F34" s="8" t="n">
        <x:f>'Inventory'!H31</x:f>
        <x:v>165.25</x:v>
      </x:c>
      <x:c r="G34" s="8" t="n">
        <x:f>E34*F34</x:f>
        <x:v>7436.25</x:v>
      </x:c>
      <x:c r="H34" s="2" t="str">
        <x:v>No action</x:v>
      </x:c>
    </x:row>
    <x:row r="35">
      <x:c r="A35" s="2" t="str">
        <x:f>'Inventory'!A32</x:f>
        <x:v>SKU-00131</x:v>
      </x:c>
      <x:c r="B35" s="2" t="str">
        <x:f>'Inventory'!B32</x:f>
        <x:v>Product E-2</x:v>
      </x:c>
      <x:c r="C35" s="2" t="str">
        <x:f>'Inventory'!D32</x:f>
        <x:v>CorePack</x:v>
      </x:c>
      <x:c r="D35" s="2" t="str">
        <x:f>'Inventory'!O32</x:f>
        <x:v>REORDER</x:v>
      </x:c>
      <x:c r="E35" s="2" t="n">
        <x:f>'Inventory'!N32</x:f>
        <x:v>268</x:v>
      </x:c>
      <x:c r="F35" s="8" t="n">
        <x:f>'Inventory'!H32</x:f>
        <x:v>177</x:v>
      </x:c>
      <x:c r="G35" s="8" t="n">
        <x:f>E35*F35</x:f>
        <x:v>47436</x:v>
      </x:c>
      <x:c r="H35" s="2" t="str">
        <x:v>Review order</x:v>
      </x:c>
    </x:row>
    <x:row r="36">
      <x:c r="A36" s="2" t="str">
        <x:f>'Inventory'!A33</x:f>
        <x:v>SKU-00132</x:v>
      </x:c>
      <x:c r="B36" s="2" t="str">
        <x:f>'Inventory'!B33</x:f>
        <x:v>Product F-2</x:v>
      </x:c>
      <x:c r="C36" s="2" t="str">
        <x:f>'Inventory'!D33</x:f>
        <x:v>Beacon Components</x:v>
      </x:c>
      <x:c r="D36" s="2" t="str">
        <x:f>'Inventory'!O33</x:f>
        <x:v>REORDER</x:v>
      </x:c>
      <x:c r="E36" s="2" t="n">
        <x:f>'Inventory'!N33</x:f>
        <x:v>315</x:v>
      </x:c>
      <x:c r="F36" s="8" t="n">
        <x:f>'Inventory'!H33</x:f>
        <x:v>8.75</x:v>
      </x:c>
      <x:c r="G36" s="8" t="n">
        <x:f>E36*F36</x:f>
        <x:v>2756.25</x:v>
      </x:c>
      <x:c r="H36" s="2" t="str">
        <x:v>Review order</x:v>
      </x:c>
    </x:row>
    <x:row r="37">
      <x:c r="A37" s="2" t="str">
        <x:f>'Inventory'!A34</x:f>
        <x:v>SKU-00133</x:v>
      </x:c>
      <x:c r="B37" s="2" t="str">
        <x:f>'Inventory'!B34</x:f>
        <x:v>Product G-2</x:v>
      </x:c>
      <x:c r="C37" s="2" t="str">
        <x:f>'Inventory'!D34</x:f>
        <x:v>Apex Supply</x:v>
      </x:c>
      <x:c r="D37" s="2" t="str">
        <x:f>'Inventory'!O34</x:f>
        <x:v>REORDER</x:v>
      </x:c>
      <x:c r="E37" s="2" t="n">
        <x:f>'Inventory'!N34</x:f>
        <x:v>593</x:v>
      </x:c>
      <x:c r="F37" s="8" t="n">
        <x:f>'Inventory'!H34</x:f>
        <x:v>20.5</x:v>
      </x:c>
      <x:c r="G37" s="8" t="n">
        <x:f>E37*F37</x:f>
        <x:v>12156.5</x:v>
      </x:c>
      <x:c r="H37" s="2" t="str">
        <x:v>Review order</x:v>
      </x:c>
    </x:row>
    <x:row r="38">
      <x:c r="A38" s="2" t="str">
        <x:f>'Inventory'!A35</x:f>
        <x:v>SKU-00134</x:v>
      </x:c>
      <x:c r="B38" s="2" t="str">
        <x:f>'Inventory'!B35</x:f>
        <x:v>Product H-2</x:v>
      </x:c>
      <x:c r="C38" s="2" t="str">
        <x:f>'Inventory'!D35</x:f>
        <x:v>Delta Service Co</x:v>
      </x:c>
      <x:c r="D38" s="2" t="str">
        <x:f>'Inventory'!O35</x:f>
        <x:v>REORDER</x:v>
      </x:c>
      <x:c r="E38" s="2" t="n">
        <x:f>'Inventory'!N35</x:f>
        <x:v>717</x:v>
      </x:c>
      <x:c r="F38" s="8" t="n">
        <x:f>'Inventory'!H35</x:f>
        <x:v>32.25</x:v>
      </x:c>
      <x:c r="G38" s="8" t="n">
        <x:f>E38*F38</x:f>
        <x:v>23123.25</x:v>
      </x:c>
      <x:c r="H38" s="2" t="str">
        <x:v>Review order</x:v>
      </x:c>
    </x:row>
    <x:row r="39">
      <x:c r="A39" s="2" t="str">
        <x:f>'Inventory'!A36</x:f>
        <x:v>SKU-00135</x:v>
      </x:c>
      <x:c r="B39" s="2" t="str">
        <x:f>'Inventory'!B36</x:f>
        <x:v>Product I-2</x:v>
      </x:c>
      <x:c r="C39" s="2" t="str">
        <x:f>'Inventory'!D36</x:f>
        <x:v>CorePack</x:v>
      </x:c>
      <x:c r="D39" s="2" t="str">
        <x:f>'Inventory'!O36</x:f>
        <x:v>REORDER</x:v>
      </x:c>
      <x:c r="E39" s="2" t="n">
        <x:f>'Inventory'!N36</x:f>
        <x:v>862</x:v>
      </x:c>
      <x:c r="F39" s="8" t="n">
        <x:f>'Inventory'!H36</x:f>
        <x:v>44</x:v>
      </x:c>
      <x:c r="G39" s="8" t="n">
        <x:f>E39*F39</x:f>
        <x:v>37928</x:v>
      </x:c>
      <x:c r="H39" s="2" t="str">
        <x:v>Review order</x:v>
      </x:c>
    </x:row>
    <x:row r="40">
      <x:c r="A40" s="2" t="str">
        <x:f>'Inventory'!A37</x:f>
        <x:v>SKU-00136</x:v>
      </x:c>
      <x:c r="B40" s="2" t="str">
        <x:f>'Inventory'!B37</x:f>
        <x:v>Product J-2</x:v>
      </x:c>
      <x:c r="C40" s="2" t="str">
        <x:f>'Inventory'!D37</x:f>
        <x:v>Beacon Components</x:v>
      </x:c>
      <x:c r="D40" s="2" t="str">
        <x:f>'Inventory'!O37</x:f>
        <x:v>OK</x:v>
      </x:c>
      <x:c r="E40" s="2" t="n">
        <x:f>'Inventory'!N37</x:f>
        <x:v>509</x:v>
      </x:c>
      <x:c r="F40" s="8" t="n">
        <x:f>'Inventory'!H37</x:f>
        <x:v>55.75</x:v>
      </x:c>
      <x:c r="G40" s="8" t="n">
        <x:f>E40*F40</x:f>
        <x:v>28376.75</x:v>
      </x:c>
      <x:c r="H40" s="2" t="str">
        <x:v>No action</x:v>
      </x:c>
    </x:row>
  </x:sheetData>
  <x:conditionalFormatting sqref="D5:D40">
    <x:cfRule type="containsText" dxfId="1" priority="1" operator="containsText" text="REORDER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EA9DB"/>
  </x:sheetPr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6" t="str">
        <x:v>Supplier</x:v>
      </x:c>
      <x:c r="B1" s="6" t="str">
        <x:v>Standard Lead Days</x:v>
      </x:c>
      <x:c r="C1" s="6" t="str">
        <x:v>Minimum Order</x:v>
      </x:c>
      <x:c r="D1" s="6" t="str">
        <x:v>Buyer</x:v>
      </x:c>
    </x:row>
    <x:row r="2">
      <x:c r="A2" s="2" t="str">
        <x:v>Apex Supply</x:v>
      </x:c>
      <x:c r="B2" s="2" t="n">
        <x:v>7</x:v>
      </x:c>
      <x:c r="C2" s="7" t="n">
        <x:v>5000</x:v>
      </x:c>
      <x:c r="D2" s="2" t="str">
        <x:v>Taylor Brooks</x:v>
      </x:c>
    </x:row>
    <x:row r="3">
      <x:c r="A3" s="2" t="str">
        <x:v>Beacon Components</x:v>
      </x:c>
      <x:c r="B3" s="2" t="n">
        <x:v>11</x:v>
      </x:c>
      <x:c r="C3" s="7" t="n">
        <x:v>7500</x:v>
      </x:c>
      <x:c r="D3" s="2" t="str">
        <x:v>Casey Nguyen</x:v>
      </x:c>
    </x:row>
    <x:row r="4">
      <x:c r="A4" s="2" t="str">
        <x:v>CorePack</x:v>
      </x:c>
      <x:c r="B4" s="2" t="n">
        <x:v>15</x:v>
      </x:c>
      <x:c r="C4" s="7" t="n">
        <x:v>10000</x:v>
      </x:c>
      <x:c r="D4" s="2" t="str">
        <x:v>Sam Rivera</x:v>
      </x:c>
    </x:row>
    <x:row r="5">
      <x:c r="A5" s="2" t="str">
        <x:v>Delta Service Co</x:v>
      </x:c>
      <x:c r="B5" s="2" t="n">
        <x:v>19</x:v>
      </x:c>
      <x:c r="C5" s="7" t="n">
        <x:v>12500</x:v>
      </x:c>
      <x:c r="D5" s="2" t="str">
        <x:v>Jamie Wilson</x:v>
      </x:c>
    </x:row>
  </x:sheetData>
  <x:pageMargins left="0.7" right="0.7" top="0.75" bottom="0.75" header="0.3" footer="0.3"/>
  <x:tableParts count="1">
    <x:tablePart xmlns:r="http://schemas.openxmlformats.org/officeDocument/2006/relationships" r:id="R1e6467a3edd04202"/>
  </x:tableParts>
</x:worksheet>
</file>