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6a40d18dd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145aaf5bf644b97"/>
    <x:sheet xmlns:r="http://schemas.openxmlformats.org/officeDocument/2006/relationships" name="Pipeline" sheetId="2" r:id="R351cb672ca9242b7"/>
    <x:sheet xmlns:r="http://schemas.openxmlformats.org/officeDocument/2006/relationships" name="Assumptions" sheetId="3" r:id="R6d023052aa7f4aba"/>
    <x:sheet xmlns:r="http://schemas.openxmlformats.org/officeDocument/2006/relationships" name="Rep Targets" sheetId="4" r:id="Rd1005d57d853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yyyy-mm-dd"/>
    <x:numFmt numFmtId="202" formatCode="$#,##0"/>
    <x:numFmt numFmtId="203" formatCode="0.0x"/>
    <x:numFmt numFmtId="204" formatCode="0"/>
  </x:numFmts>
  <x:fonts count="5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5"/>
      <x:color rgb="FF17365D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2F75B5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65b282c794be3" /><Relationship Type="http://schemas.openxmlformats.org/officeDocument/2006/relationships/theme" Target="/xl/theme/theme1.xml" Id="Rfd044a6ded80468b" /><Relationship Type="http://schemas.openxmlformats.org/officeDocument/2006/relationships/sharedStrings" Target="/xl/sharedStrings.xml" Id="R1b0f1c2a82e14230" /><Relationship Type="http://schemas.openxmlformats.org/officeDocument/2006/relationships/worksheet" Target="/xl/worksheets/sheet1.xml" Id="R5145aaf5bf644b97" /><Relationship Type="http://schemas.openxmlformats.org/officeDocument/2006/relationships/worksheet" Target="/xl/worksheets/sheet2.xml" Id="R351cb672ca9242b7" /><Relationship Type="http://schemas.openxmlformats.org/officeDocument/2006/relationships/worksheet" Target="/xl/worksheets/sheet3.xml" Id="R6d023052aa7f4aba" /><Relationship Type="http://schemas.openxmlformats.org/officeDocument/2006/relationships/worksheet" Target="/xl/worksheets/sheet4.xml" Id="Rd1005d57d85342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57f13cb8634cde" /><Relationship Type="http://schemas.openxmlformats.org/officeDocument/2006/relationships/chart" Target="/xl/drawings/charts/chart2.xml" Id="Rb5901ac57ef94e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Weighted pipeline by stage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Weighted ACV</c:v>
          </c:tx>
          <c:invertIfNegative val="0"/>
          <c:cat>
            <c:strRef>
              <c:f>'Overview'!$A$12:$A$17</c:f>
              <c:strCache>
                <c:ptCount val="0"/>
              </c:strCache>
            </c:strRef>
          </c:cat>
          <c:val>
            <c:numRef>
              <c:f>'Overview'!$B$12:$B$17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Weighted pipeline by expected close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Weighted ACV</c:v>
          </c:tx>
          <c:marker>
            <c:symbol val="none"/>
          </c:marker>
          <c:cat>
            <c:strRef>
              <c:f>'Overview'!$D$12:$D$21</c:f>
              <c:strCache>
                <c:ptCount val="0"/>
              </c:strCache>
            </c:strRef>
          </c:cat>
          <c:val>
            <c:numRef>
              <c:f>'Overview'!$E$12:$E$21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57f13cb8634cde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901ac57ef94e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blSalesPipeline" displayName="tblSalesPipeline" ref="A1:N49" headerRowCount="1" totalsRowCount="0" totalsRowShown="0">
  <x:autoFilter ref="A1:N49"/>
  <x:tableColumns count="14">
    <x:tableColumn id="1" name="Opportunity ID"/>
    <x:tableColumn id="2" name="Created Date"/>
    <x:tableColumn id="3" name="Expected Close"/>
    <x:tableColumn id="4" name="Account"/>
    <x:tableColumn id="5" name="Region"/>
    <x:tableColumn id="6" name="Segment"/>
    <x:tableColumn id="7" name="Rep"/>
    <x:tableColumn id="8" name="Stage"/>
    <x:tableColumn id="9" name="Probability"/>
    <x:tableColumn id="10" name="ACV"/>
    <x:tableColumn id="11" name="Forecast Category"/>
    <x:tableColumn id="12" name="Weighted ACV"/>
    <x:tableColumn id="13" name="Cycle Days"/>
    <x:tableColumn id="14" name="Timing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blPipelineStages" displayName="tblPipelineStages" ref="A1:C7" headerRowCount="1" totalsRowCount="0" totalsRowShown="0">
  <x:autoFilter ref="A1:C7"/>
  <x:tableColumns count="3">
    <x:tableColumn id="1" name="Stage"/>
    <x:tableColumn id="2" name="Default Probability"/>
    <x:tableColumn id="3" name="Forecast Catego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RepTargets" displayName="tblRepTargets" ref="A1:D5" headerRowCount="1" totalsRowCount="0" totalsRowShown="0">
  <x:autoFilter ref="A1:D5"/>
  <x:tableColumns count="4">
    <x:tableColumn id="1" name="Rep"/>
    <x:tableColumn id="2" name="Annual Target"/>
    <x:tableColumn id="3" name="Weighted Pipeline"/>
    <x:tableColumn id="4" name="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652daf8d1640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07bb40cd064a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b394ca092b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7200759d8b444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4" max="4" width="18" hidden="0" customWidth="1"/>
    <x:col min="5" max="5" width="18" hidden="0" customWidth="1"/>
  </x:cols>
  <x:sheetData>
    <x:row r="2">
      <x:c r="A2" s="19" t="str">
        <x:v>Sales pipeline and revenue operations overview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6" t="str">
        <x:v>Metric</x:v>
      </x:c>
      <x:c r="B4" s="6" t="str">
        <x:v>Value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 t="str">
        <x:v>Opportunities</x:v>
      </x:c>
      <x:c r="B5" s="21" t="n">
        <x:v>48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 t="str">
        <x:v>Total ACV</x:v>
      </x:c>
      <x:c r="B6" s="9" t="n">
        <x:f>SUM('Pipeline'!$J$2,'Pipeline'!$J$3,'Pipeline'!$J$4,'Pipeline'!$J$5,'Pipeline'!$J$6,'Pipeline'!$J$7,'Pipeline'!$J$8,'Pipeline'!$J$9,'Pipeline'!$J$10,'Pipeline'!$J$11,'Pipeline'!$J$12,'Pipeline'!$J$13,'Pipeline'!$J$14,'Pipeline'!$J$15,'Pipeline'!$J$16,'Pipeline'!$J$17,'Pipeline'!$J$18,'Pipeline'!$J$19,'Pipeline'!$J$20,'Pipeline'!$J$21,'Pipeline'!$J$22,'Pipeline'!$J$23,'Pipeline'!$J$24,'Pipeline'!$J$25,'Pipeline'!$J$26,'Pipeline'!$J$27,'Pipeline'!$J$28,'Pipeline'!$J$29,'Pipeline'!$J$30,'Pipeline'!$J$31,'Pipeline'!$J$32,'Pipeline'!$J$33,'Pipeline'!$J$34,'Pipeline'!$J$35,'Pipeline'!$J$36,'Pipeline'!$J$37,'Pipeline'!$J$38,'Pipeline'!$J$39,'Pipeline'!$J$40,'Pipeline'!$J$41,'Pipeline'!$J$42,'Pipeline'!$J$43,'Pipeline'!$J$44,'Pipeline'!$J$45,'Pipeline'!$J$46,'Pipeline'!$J$47,'Pipeline'!$J$48,'Pipeline'!$J$49)</x:f>
        <x:v>4643400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 t="str">
        <x:v>Weighted pipeline</x:v>
      </x:c>
      <x:c r="B7" s="9" t="n">
        <x:f>SUM('Pipeline'!$L$2,'Pipeline'!$L$3,'Pipeline'!$L$4,'Pipeline'!$L$5,'Pipeline'!$L$6,'Pipeline'!$L$7,'Pipeline'!$L$8,'Pipeline'!$L$9,'Pipeline'!$L$10,'Pipeline'!$L$11,'Pipeline'!$L$12,'Pipeline'!$L$13,'Pipeline'!$L$14,'Pipeline'!$L$15,'Pipeline'!$L$16,'Pipeline'!$L$17,'Pipeline'!$L$18,'Pipeline'!$L$19,'Pipeline'!$L$20,'Pipeline'!$L$21,'Pipeline'!$L$22,'Pipeline'!$L$23,'Pipeline'!$L$24,'Pipeline'!$L$25,'Pipeline'!$L$26,'Pipeline'!$L$27,'Pipeline'!$L$28,'Pipeline'!$L$29,'Pipeline'!$L$30,'Pipeline'!$L$31,'Pipeline'!$L$32,'Pipeline'!$L$33,'Pipeline'!$L$34,'Pipeline'!$L$35,'Pipeline'!$L$36,'Pipeline'!$L$37,'Pipeline'!$L$38,'Pipeline'!$L$39,'Pipeline'!$L$40,'Pipeline'!$L$41,'Pipeline'!$L$42,'Pipeline'!$L$43,'Pipeline'!$L$44,'Pipeline'!$L$45,'Pipeline'!$L$46,'Pipeline'!$L$47,'Pipeline'!$L$48,'Pipeline'!$L$49)</x:f>
        <x:v>1741890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 t="str">
        <x:v>Slipped opportunities</x:v>
      </x:c>
      <x:c r="B8" s="21" t="n">
        <x:v>14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6" t="str">
        <x:v>Stage</x:v>
      </x:c>
      <x:c r="B11" s="6" t="str">
        <x:v>Weighted ACV</x:v>
      </x:c>
      <x:c r="C11" s="2"/>
      <x:c r="D11" s="6" t="str">
        <x:v>Close Month</x:v>
      </x:c>
      <x:c r="E11" s="6" t="str">
        <x:v>Weighted ACV</x:v>
      </x:c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 t="str">
        <x:v>Prospecting</x:v>
      </x:c>
      <x:c r="B12" s="9" t="n">
        <x:f>SUM('Pipeline'!$L$2,'Pipeline'!$L$8,'Pipeline'!$L$9,'Pipeline'!$L$15,'Pipeline'!$L$16,'Pipeline'!$L$22,'Pipeline'!$L$23,'Pipeline'!$L$29,'Pipeline'!$L$30,'Pipeline'!$L$36,'Pipeline'!$L$37,'Pipeline'!$L$43,'Pipeline'!$L$44)</x:f>
        <x:v>134640</x:v>
      </x:c>
      <x:c r="C12" s="2"/>
      <x:c r="D12" s="2" t="str">
        <x:v>Mar-26</x:v>
      </x:c>
      <x:c r="E12" s="9" t="n">
        <x:f>SUM('Pipeline'!$L$2,'Pipeline'!$L$12,'Pipeline'!$L$22,'Pipeline'!$L$32,'Pipeline'!$L$42)</x:f>
        <x:v>194700</x:v>
      </x:c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 t="str">
        <x:v>Qualification</x:v>
      </x:c>
      <x:c r="B13" s="9" t="n">
        <x:f>SUM('Pipeline'!$L$7,'Pipeline'!$L$14,'Pipeline'!$L$21,'Pipeline'!$L$28,'Pipeline'!$L$35,'Pipeline'!$L$42,'Pipeline'!$L$49)</x:f>
        <x:v>157400</x:v>
      </x:c>
      <x:c r="C13" s="2"/>
      <x:c r="D13" s="2" t="str">
        <x:v>Apr-26</x:v>
      </x:c>
      <x:c r="E13" s="9" t="n">
        <x:f>SUM('Pipeline'!$L$3,'Pipeline'!$L$13,'Pipeline'!$L$23,'Pipeline'!$L$33,'Pipeline'!$L$43)</x:f>
        <x:v>140985</x:v>
      </x:c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 t="str">
        <x:v>Proposal</x:v>
      </x:c>
      <x:c r="B14" s="9" t="n">
        <x:f>SUM('Pipeline'!$L$6,'Pipeline'!$L$13,'Pipeline'!$L$20,'Pipeline'!$L$27,'Pipeline'!$L$34,'Pipeline'!$L$41,'Pipeline'!$L$48)</x:f>
        <x:v>289250</x:v>
      </x:c>
      <x:c r="C14" s="2"/>
      <x:c r="D14" s="2" t="str">
        <x:v>May-26</x:v>
      </x:c>
      <x:c r="E14" s="9" t="n">
        <x:f>SUM('Pipeline'!$L$4,'Pipeline'!$L$14,'Pipeline'!$L$24,'Pipeline'!$L$34,'Pipeline'!$L$44)</x:f>
        <x:v>118260</x:v>
      </x:c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 t="str">
        <x:v>Negotiation</x:v>
      </x:c>
      <x:c r="B15" s="9" t="n">
        <x:f>SUM('Pipeline'!$L$5,'Pipeline'!$L$12,'Pipeline'!$L$19,'Pipeline'!$L$26,'Pipeline'!$L$33,'Pipeline'!$L$40,'Pipeline'!$L$47)</x:f>
        <x:v>519300</x:v>
      </x:c>
      <x:c r="C15" s="2"/>
      <x:c r="D15" s="2" t="str">
        <x:v>Jun-26</x:v>
      </x:c>
      <x:c r="E15" s="9" t="n">
        <x:f>SUM('Pipeline'!$L$5,'Pipeline'!$L$15,'Pipeline'!$L$25,'Pipeline'!$L$35,'Pipeline'!$L$45)</x:f>
        <x:v>85590</x:v>
      </x:c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 t="str">
        <x:v>Closed Won</x:v>
      </x:c>
      <x:c r="B16" s="9" t="n">
        <x:f>SUM('Pipeline'!$L$4,'Pipeline'!$L$11,'Pipeline'!$L$18,'Pipeline'!$L$25,'Pipeline'!$L$32,'Pipeline'!$L$39,'Pipeline'!$L$46)</x:f>
        <x:v>641300</x:v>
      </x:c>
      <x:c r="C16" s="2"/>
      <x:c r="D16" s="2" t="str">
        <x:v>Jul-26</x:v>
      </x:c>
      <x:c r="E16" s="9" t="n">
        <x:f>SUM('Pipeline'!$L$6,'Pipeline'!$L$16,'Pipeline'!$L$26,'Pipeline'!$L$36,'Pipeline'!$L$46)</x:f>
        <x:v>241090</x:v>
      </x:c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Closed Lost</x:v>
      </x:c>
      <x:c r="B17" s="9" t="n">
        <x:f>SUM('Pipeline'!$L$3,'Pipeline'!$L$10,'Pipeline'!$L$17,'Pipeline'!$L$24,'Pipeline'!$L$31,'Pipeline'!$L$38,'Pipeline'!$L$45)</x:f>
        <x:v>0</x:v>
      </x:c>
      <x:c r="C17" s="2"/>
      <x:c r="D17" s="2" t="str">
        <x:v>Aug-26</x:v>
      </x:c>
      <x:c r="E17" s="9" t="n">
        <x:f>SUM('Pipeline'!$L$7,'Pipeline'!$L$17,'Pipeline'!$L$27,'Pipeline'!$L$37,'Pipeline'!$L$47)</x:f>
        <x:v>178350</x:v>
      </x:c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 t="str">
        <x:v>Sep-26</x:v>
      </x:c>
      <x:c r="E18" s="9" t="n">
        <x:f>SUM('Pipeline'!$L$8,'Pipeline'!$L$18,'Pipeline'!$L$28,'Pipeline'!$L$38,'Pipeline'!$L$48)</x:f>
        <x:v>163580</x:v>
      </x:c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 t="str">
        <x:v>Oct-26</x:v>
      </x:c>
      <x:c r="E19" s="9" t="n">
        <x:f>SUM('Pipeline'!$L$9,'Pipeline'!$L$19,'Pipeline'!$L$29,'Pipeline'!$L$39,'Pipeline'!$L$49)</x:f>
        <x:v>249370</x:v>
      </x:c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 t="str">
        <x:v>Nov-26</x:v>
      </x:c>
      <x:c r="E20" s="9" t="n">
        <x:f>SUM('Pipeline'!$L$10,'Pipeline'!$L$20,'Pipeline'!$L$30,'Pipeline'!$L$40)</x:f>
        <x:v>178240</x:v>
      </x:c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 t="str">
        <x:v>Dec-26</x:v>
      </x:c>
      <x:c r="E21" s="9" t="n">
        <x:f>SUM('Pipeline'!$L$11,'Pipeline'!$L$21,'Pipeline'!$L$31,'Pipeline'!$L$41)</x:f>
        <x:v>191725</x:v>
      </x:c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</x:sheetData>
  <x:pageMargins left="0.7" right="0.7" top="0.75" bottom="0.75" header="0.3" footer="0.3"/>
  <x:drawing xmlns:r="http://schemas.openxmlformats.org/officeDocument/2006/relationships" r:id="Rd1652daf8d16409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4" max="4" width="18" hidden="0" customWidth="1"/>
  </x:cols>
  <x:sheetData>
    <x:row r="1">
      <x:c r="A1" s="6" t="str">
        <x:v>Opportunity ID</x:v>
      </x:c>
      <x:c r="B1" s="6" t="str">
        <x:v>Created Date</x:v>
      </x:c>
      <x:c r="C1" s="6" t="str">
        <x:v>Expected Close</x:v>
      </x:c>
      <x:c r="D1" s="6" t="str">
        <x:v>Account</x:v>
      </x:c>
      <x:c r="E1" s="6" t="str">
        <x:v>Region</x:v>
      </x:c>
      <x:c r="F1" s="6" t="str">
        <x:v>Segment</x:v>
      </x:c>
      <x:c r="G1" s="6" t="str">
        <x:v>Rep</x:v>
      </x:c>
      <x:c r="H1" s="6" t="str">
        <x:v>Stage</x:v>
      </x:c>
      <x:c r="I1" s="6" t="str">
        <x:v>Probability</x:v>
      </x:c>
      <x:c r="J1" s="6" t="str">
        <x:v>ACV</x:v>
      </x:c>
      <x:c r="K1" s="6" t="str">
        <x:v>Forecast Category</x:v>
      </x:c>
      <x:c r="L1" s="6" t="str">
        <x:v>Weighted ACV</x:v>
      </x:c>
      <x:c r="M1" s="6" t="str">
        <x:v>Cycle Days</x:v>
      </x:c>
      <x:c r="N1" s="6" t="str">
        <x:v>Timing Status</x:v>
      </x:c>
    </x:row>
    <x:row r="2">
      <x:c r="A2" s="2" t="str">
        <x:v>OPP-0001</x:v>
      </x:c>
      <x:c r="B2" s="8" t="d">
        <x:v>2026-01-02T00:00:00.000Z</x:v>
      </x:c>
      <x:c r="C2" s="8" t="d">
        <x:v>2026-03-05T00:00:00.000Z</x:v>
      </x:c>
      <x:c r="D2" s="2" t="str">
        <x:v>Account A1</x:v>
      </x:c>
      <x:c r="E2" s="2" t="str">
        <x:v>East</x:v>
      </x:c>
      <x:c r="F2" s="2" t="str">
        <x:v>Enterprise</x:v>
      </x:c>
      <x:c r="G2" s="2" t="str">
        <x:v>Avery Chen</x:v>
      </x:c>
      <x:c r="H2" s="2" t="str">
        <x:v>Prospecting</x:v>
      </x:c>
      <x:c r="I2" s="7" t="n">
        <x:v>0.1</x:v>
      </x:c>
      <x:c r="J2" s="9" t="n">
        <x:v>18000</x:v>
      </x:c>
      <x:c r="K2" s="9" t="str">
        <x:v>Pipeline</x:v>
      </x:c>
      <x:c r="L2" s="9" t="n">
        <x:f>I2*J2</x:f>
        <x:v>1800</x:v>
      </x:c>
      <x:c r="M2" s="2" t="n">
        <x:f>C2-B2</x:f>
        <x:v>62</x:v>
      </x:c>
      <x:c r="N2" s="2" t="str">
        <x:f>IF(H2="Closed Won","Closed",IF(H2="Closed Lost","Closed",IF(C2&lt;'Assumptions'!$F$2,"Slipped","Open")))</x:f>
        <x:v>Slipped</x:v>
      </x:c>
    </x:row>
    <x:row r="3">
      <x:c r="A3" s="2" t="str">
        <x:v>OPP-0002</x:v>
      </x:c>
      <x:c r="B3" s="8" t="d">
        <x:v>2026-02-05T00:00:00.000Z</x:v>
      </x:c>
      <x:c r="C3" s="8" t="d">
        <x:v>2026-04-07T00:00:00.000Z</x:v>
      </x:c>
      <x:c r="D3" s="2" t="str">
        <x:v>Account B1</x:v>
      </x:c>
      <x:c r="E3" s="2" t="str">
        <x:v>West</x:v>
      </x:c>
      <x:c r="F3" s="2" t="str">
        <x:v>SMB</x:v>
      </x:c>
      <x:c r="G3" s="2" t="str">
        <x:v>Jordan Lee</x:v>
      </x:c>
      <x:c r="H3" s="2" t="str">
        <x:v>Closed Lost</x:v>
      </x:c>
      <x:c r="I3" s="7" t="n">
        <x:v>0</x:v>
      </x:c>
      <x:c r="J3" s="9" t="n">
        <x:v>25300</x:v>
      </x:c>
      <x:c r="K3" s="9" t="str">
        <x:v>Closed</x:v>
      </x:c>
      <x:c r="L3" s="9" t="n">
        <x:f>I3*J3</x:f>
        <x:v>0</x:v>
      </x:c>
      <x:c r="M3" s="2" t="n">
        <x:f>C3-B3</x:f>
        <x:v>61</x:v>
      </x:c>
      <x:c r="N3" s="2" t="str">
        <x:f>IF(H3="Closed Won","Closed",IF(H3="Closed Lost","Closed",IF(C3&lt;'Assumptions'!$F$2,"Slipped","Open")))</x:f>
        <x:v>Closed</x:v>
      </x:c>
    </x:row>
    <x:row r="4">
      <x:c r="A4" s="2" t="str">
        <x:v>OPP-0003</x:v>
      </x:c>
      <x:c r="B4" s="8" t="d">
        <x:v>2026-03-08T00:00:00.000Z</x:v>
      </x:c>
      <x:c r="C4" s="8" t="d">
        <x:v>2026-05-09T00:00:00.000Z</x:v>
      </x:c>
      <x:c r="D4" s="2" t="str">
        <x:v>Account C1</x:v>
      </x:c>
      <x:c r="E4" s="2" t="str">
        <x:v>Central</x:v>
      </x:c>
      <x:c r="F4" s="2" t="str">
        <x:v>Mid-Market</x:v>
      </x:c>
      <x:c r="G4" s="2" t="str">
        <x:v>Morgan Patel</x:v>
      </x:c>
      <x:c r="H4" s="2" t="str">
        <x:v>Closed Won</x:v>
      </x:c>
      <x:c r="I4" s="7" t="n">
        <x:v>1</x:v>
      </x:c>
      <x:c r="J4" s="9" t="n">
        <x:v>32600</x:v>
      </x:c>
      <x:c r="K4" s="9" t="str">
        <x:v>Closed</x:v>
      </x:c>
      <x:c r="L4" s="9" t="n">
        <x:f>I4*J4</x:f>
        <x:v>32600</x:v>
      </x:c>
      <x:c r="M4" s="2" t="n">
        <x:f>C4-B4</x:f>
        <x:v>62</x:v>
      </x:c>
      <x:c r="N4" s="2" t="str">
        <x:f>IF(H4="Closed Won","Closed",IF(H4="Closed Lost","Closed",IF(C4&lt;'Assumptions'!$F$2,"Slipped","Open")))</x:f>
        <x:v>Closed</x:v>
      </x:c>
    </x:row>
    <x:row r="5">
      <x:c r="A5" s="2" t="str">
        <x:v>OPP-0004</x:v>
      </x:c>
      <x:c r="B5" s="8" t="d">
        <x:v>2026-04-11T00:00:00.000Z</x:v>
      </x:c>
      <x:c r="C5" s="8" t="d">
        <x:v>2026-06-11T00:00:00.000Z</x:v>
      </x:c>
      <x:c r="D5" s="2" t="str">
        <x:v>Account D1</x:v>
      </x:c>
      <x:c r="E5" s="2" t="str">
        <x:v>East</x:v>
      </x:c>
      <x:c r="F5" s="2" t="str">
        <x:v>Enterprise</x:v>
      </x:c>
      <x:c r="G5" s="2" t="str">
        <x:v>Riley Smith</x:v>
      </x:c>
      <x:c r="H5" s="2" t="str">
        <x:v>Negotiation</x:v>
      </x:c>
      <x:c r="I5" s="7" t="n">
        <x:v>0.75</x:v>
      </x:c>
      <x:c r="J5" s="9" t="n">
        <x:v>39900</x:v>
      </x:c>
      <x:c r="K5" s="9" t="str">
        <x:v>Commit</x:v>
      </x:c>
      <x:c r="L5" s="9" t="n">
        <x:f>I5*J5</x:f>
        <x:v>29925</x:v>
      </x:c>
      <x:c r="M5" s="2" t="n">
        <x:f>C5-B5</x:f>
        <x:v>61</x:v>
      </x:c>
      <x:c r="N5" s="2" t="str">
        <x:f>IF(H5="Closed Won","Closed",IF(H5="Closed Lost","Closed",IF(C5&lt;'Assumptions'!$F$2,"Slipped","Open")))</x:f>
        <x:v>Slipped</x:v>
      </x:c>
    </x:row>
    <x:row r="6">
      <x:c r="A6" s="2" t="str">
        <x:v>OPP-0005</x:v>
      </x:c>
      <x:c r="B6" s="8" t="d">
        <x:v>2026-05-14T00:00:00.000Z</x:v>
      </x:c>
      <x:c r="C6" s="8" t="d">
        <x:v>2026-07-13T00:00:00.000Z</x:v>
      </x:c>
      <x:c r="D6" s="2" t="str">
        <x:v>Account E1</x:v>
      </x:c>
      <x:c r="E6" s="2" t="str">
        <x:v>West</x:v>
      </x:c>
      <x:c r="F6" s="2" t="str">
        <x:v>SMB</x:v>
      </x:c>
      <x:c r="G6" s="2" t="str">
        <x:v>Avery Chen</x:v>
      </x:c>
      <x:c r="H6" s="2" t="str">
        <x:v>Proposal</x:v>
      </x:c>
      <x:c r="I6" s="7" t="n">
        <x:v>0.5</x:v>
      </x:c>
      <x:c r="J6" s="9" t="n">
        <x:v>47200</x:v>
      </x:c>
      <x:c r="K6" s="9" t="str">
        <x:v>Best Case</x:v>
      </x:c>
      <x:c r="L6" s="9" t="n">
        <x:f>I6*J6</x:f>
        <x:v>23600</x:v>
      </x:c>
      <x:c r="M6" s="2" t="n">
        <x:f>C6-B6</x:f>
        <x:v>60</x:v>
      </x:c>
      <x:c r="N6" s="2" t="str">
        <x:f>IF(H6="Closed Won","Closed",IF(H6="Closed Lost","Closed",IF(C6&lt;'Assumptions'!$F$2,"Slipped","Open")))</x:f>
        <x:v>Open</x:v>
      </x:c>
    </x:row>
    <x:row r="7">
      <x:c r="A7" s="2" t="str">
        <x:v>OPP-0006</x:v>
      </x:c>
      <x:c r="B7" s="8" t="d">
        <x:v>2026-06-17T00:00:00.000Z</x:v>
      </x:c>
      <x:c r="C7" s="8" t="d">
        <x:v>2026-08-15T00:00:00.000Z</x:v>
      </x:c>
      <x:c r="D7" s="2" t="str">
        <x:v>Account F1</x:v>
      </x:c>
      <x:c r="E7" s="2" t="str">
        <x:v>Central</x:v>
      </x:c>
      <x:c r="F7" s="2" t="str">
        <x:v>Mid-Market</x:v>
      </x:c>
      <x:c r="G7" s="2" t="str">
        <x:v>Jordan Lee</x:v>
      </x:c>
      <x:c r="H7" s="2" t="str">
        <x:v>Qualification</x:v>
      </x:c>
      <x:c r="I7" s="7" t="n">
        <x:v>0.25</x:v>
      </x:c>
      <x:c r="J7" s="9" t="n">
        <x:v>54500</x:v>
      </x:c>
      <x:c r="K7" s="9" t="str">
        <x:v>Pipeline</x:v>
      </x:c>
      <x:c r="L7" s="9" t="n">
        <x:f>I7*J7</x:f>
        <x:v>13625</x:v>
      </x:c>
      <x:c r="M7" s="2" t="n">
        <x:f>C7-B7</x:f>
        <x:v>59</x:v>
      </x:c>
      <x:c r="N7" s="2" t="str">
        <x:f>IF(H7="Closed Won","Closed",IF(H7="Closed Lost","Closed",IF(C7&lt;'Assumptions'!$F$2,"Slipped","Open")))</x:f>
        <x:v>Open</x:v>
      </x:c>
    </x:row>
    <x:row r="8">
      <x:c r="A8" s="2" t="str">
        <x:v>OPP-0007</x:v>
      </x:c>
      <x:c r="B8" s="8" t="d">
        <x:v>2026-01-20T00:00:00.000Z</x:v>
      </x:c>
      <x:c r="C8" s="8" t="d">
        <x:v>2026-09-17T00:00:00.000Z</x:v>
      </x:c>
      <x:c r="D8" s="2" t="str">
        <x:v>Account G1</x:v>
      </x:c>
      <x:c r="E8" s="2" t="str">
        <x:v>East</x:v>
      </x:c>
      <x:c r="F8" s="2" t="str">
        <x:v>Enterprise</x:v>
      </x:c>
      <x:c r="G8" s="2" t="str">
        <x:v>Morgan Patel</x:v>
      </x:c>
      <x:c r="H8" s="2" t="str">
        <x:v>Prospecting</x:v>
      </x:c>
      <x:c r="I8" s="7" t="n">
        <x:v>0.1</x:v>
      </x:c>
      <x:c r="J8" s="9" t="n">
        <x:v>61800</x:v>
      </x:c>
      <x:c r="K8" s="9" t="str">
        <x:v>Pipeline</x:v>
      </x:c>
      <x:c r="L8" s="9" t="n">
        <x:f>I8*J8</x:f>
        <x:v>6180</x:v>
      </x:c>
      <x:c r="M8" s="2" t="n">
        <x:f>C8-B8</x:f>
        <x:v>240</x:v>
      </x:c>
      <x:c r="N8" s="2" t="str">
        <x:f>IF(H8="Closed Won","Closed",IF(H8="Closed Lost","Closed",IF(C8&lt;'Assumptions'!$F$2,"Slipped","Open")))</x:f>
        <x:v>Open</x:v>
      </x:c>
    </x:row>
    <x:row r="9">
      <x:c r="A9" s="2" t="str">
        <x:v>OPP-0008</x:v>
      </x:c>
      <x:c r="B9" s="8" t="d">
        <x:v>2026-02-23T00:00:00.000Z</x:v>
      </x:c>
      <x:c r="C9" s="8" t="d">
        <x:v>2026-10-19T00:00:00.000Z</x:v>
      </x:c>
      <x:c r="D9" s="2" t="str">
        <x:v>Account H1</x:v>
      </x:c>
      <x:c r="E9" s="2" t="str">
        <x:v>West</x:v>
      </x:c>
      <x:c r="F9" s="2" t="str">
        <x:v>SMB</x:v>
      </x:c>
      <x:c r="G9" s="2" t="str">
        <x:v>Riley Smith</x:v>
      </x:c>
      <x:c r="H9" s="2" t="str">
        <x:v>Prospecting</x:v>
      </x:c>
      <x:c r="I9" s="7" t="n">
        <x:v>0.1</x:v>
      </x:c>
      <x:c r="J9" s="9" t="n">
        <x:v>69100</x:v>
      </x:c>
      <x:c r="K9" s="9" t="str">
        <x:v>Pipeline</x:v>
      </x:c>
      <x:c r="L9" s="9" t="n">
        <x:f>I9*J9</x:f>
        <x:v>6910</x:v>
      </x:c>
      <x:c r="M9" s="2" t="n">
        <x:f>C9-B9</x:f>
        <x:v>238</x:v>
      </x:c>
      <x:c r="N9" s="2" t="str">
        <x:f>IF(H9="Closed Won","Closed",IF(H9="Closed Lost","Closed",IF(C9&lt;'Assumptions'!$F$2,"Slipped","Open")))</x:f>
        <x:v>Open</x:v>
      </x:c>
    </x:row>
    <x:row r="10">
      <x:c r="A10" s="2" t="str">
        <x:v>OPP-0009</x:v>
      </x:c>
      <x:c r="B10" s="8" t="d">
        <x:v>2026-03-02T00:00:00.000Z</x:v>
      </x:c>
      <x:c r="C10" s="8" t="d">
        <x:v>2026-11-21T00:00:00.000Z</x:v>
      </x:c>
      <x:c r="D10" s="2" t="str">
        <x:v>Account I1</x:v>
      </x:c>
      <x:c r="E10" s="2" t="str">
        <x:v>Central</x:v>
      </x:c>
      <x:c r="F10" s="2" t="str">
        <x:v>Mid-Market</x:v>
      </x:c>
      <x:c r="G10" s="2" t="str">
        <x:v>Avery Chen</x:v>
      </x:c>
      <x:c r="H10" s="2" t="str">
        <x:v>Closed Lost</x:v>
      </x:c>
      <x:c r="I10" s="7" t="n">
        <x:v>0</x:v>
      </x:c>
      <x:c r="J10" s="9" t="n">
        <x:v>76400</x:v>
      </x:c>
      <x:c r="K10" s="9" t="str">
        <x:v>Closed</x:v>
      </x:c>
      <x:c r="L10" s="9" t="n">
        <x:f>I10*J10</x:f>
        <x:v>0</x:v>
      </x:c>
      <x:c r="M10" s="2" t="n">
        <x:f>C10-B10</x:f>
        <x:v>264</x:v>
      </x:c>
      <x:c r="N10" s="2" t="str">
        <x:f>IF(H10="Closed Won","Closed",IF(H10="Closed Lost","Closed",IF(C10&lt;'Assumptions'!$F$2,"Slipped","Open")))</x:f>
        <x:v>Closed</x:v>
      </x:c>
    </x:row>
    <x:row r="11">
      <x:c r="A11" s="2" t="str">
        <x:v>OPP-0010</x:v>
      </x:c>
      <x:c r="B11" s="8" t="d">
        <x:v>2026-04-05T00:00:00.000Z</x:v>
      </x:c>
      <x:c r="C11" s="8" t="d">
        <x:v>2026-12-23T00:00:00.000Z</x:v>
      </x:c>
      <x:c r="D11" s="2" t="str">
        <x:v>Account J1</x:v>
      </x:c>
      <x:c r="E11" s="2" t="str">
        <x:v>East</x:v>
      </x:c>
      <x:c r="F11" s="2" t="str">
        <x:v>Enterprise</x:v>
      </x:c>
      <x:c r="G11" s="2" t="str">
        <x:v>Jordan Lee</x:v>
      </x:c>
      <x:c r="H11" s="2" t="str">
        <x:v>Closed Won</x:v>
      </x:c>
      <x:c r="I11" s="7" t="n">
        <x:v>1</x:v>
      </x:c>
      <x:c r="J11" s="9" t="n">
        <x:v>83700</x:v>
      </x:c>
      <x:c r="K11" s="9" t="str">
        <x:v>Closed</x:v>
      </x:c>
      <x:c r="L11" s="9" t="n">
        <x:f>I11*J11</x:f>
        <x:v>83700</x:v>
      </x:c>
      <x:c r="M11" s="2" t="n">
        <x:f>C11-B11</x:f>
        <x:v>262</x:v>
      </x:c>
      <x:c r="N11" s="2" t="str">
        <x:f>IF(H11="Closed Won","Closed",IF(H11="Closed Lost","Closed",IF(C11&lt;'Assumptions'!$F$2,"Slipped","Open")))</x:f>
        <x:v>Closed</x:v>
      </x:c>
    </x:row>
    <x:row r="12">
      <x:c r="A12" s="2" t="str">
        <x:v>OPP-0011</x:v>
      </x:c>
      <x:c r="B12" s="8" t="d">
        <x:v>2026-05-08T00:00:00.000Z</x:v>
      </x:c>
      <x:c r="C12" s="8" t="d">
        <x:v>2026-03-25T00:00:00.000Z</x:v>
      </x:c>
      <x:c r="D12" s="2" t="str">
        <x:v>Account K1</x:v>
      </x:c>
      <x:c r="E12" s="2" t="str">
        <x:v>West</x:v>
      </x:c>
      <x:c r="F12" s="2" t="str">
        <x:v>SMB</x:v>
      </x:c>
      <x:c r="G12" s="2" t="str">
        <x:v>Morgan Patel</x:v>
      </x:c>
      <x:c r="H12" s="2" t="str">
        <x:v>Negotiation</x:v>
      </x:c>
      <x:c r="I12" s="7" t="n">
        <x:v>0.75</x:v>
      </x:c>
      <x:c r="J12" s="9" t="n">
        <x:v>91000</x:v>
      </x:c>
      <x:c r="K12" s="9" t="str">
        <x:v>Commit</x:v>
      </x:c>
      <x:c r="L12" s="9" t="n">
        <x:f>I12*J12</x:f>
        <x:v>68250</x:v>
      </x:c>
      <x:c r="M12" s="2" t="n">
        <x:f>C12-B12</x:f>
        <x:v>-44</x:v>
      </x:c>
      <x:c r="N12" s="2" t="str">
        <x:f>IF(H12="Closed Won","Closed",IF(H12="Closed Lost","Closed",IF(C12&lt;'Assumptions'!$F$2,"Slipped","Open")))</x:f>
        <x:v>Slipped</x:v>
      </x:c>
    </x:row>
    <x:row r="13">
      <x:c r="A13" s="2" t="str">
        <x:v>OPP-0012</x:v>
      </x:c>
      <x:c r="B13" s="8" t="d">
        <x:v>2026-06-11T00:00:00.000Z</x:v>
      </x:c>
      <x:c r="C13" s="8" t="d">
        <x:v>2026-04-05T00:00:00.000Z</x:v>
      </x:c>
      <x:c r="D13" s="2" t="str">
        <x:v>Account L1</x:v>
      </x:c>
      <x:c r="E13" s="2" t="str">
        <x:v>Central</x:v>
      </x:c>
      <x:c r="F13" s="2" t="str">
        <x:v>Mid-Market</x:v>
      </x:c>
      <x:c r="G13" s="2" t="str">
        <x:v>Riley Smith</x:v>
      </x:c>
      <x:c r="H13" s="2" t="str">
        <x:v>Proposal</x:v>
      </x:c>
      <x:c r="I13" s="7" t="n">
        <x:v>0.5</x:v>
      </x:c>
      <x:c r="J13" s="9" t="n">
        <x:v>98300</x:v>
      </x:c>
      <x:c r="K13" s="9" t="str">
        <x:v>Best Case</x:v>
      </x:c>
      <x:c r="L13" s="9" t="n">
        <x:f>I13*J13</x:f>
        <x:v>49150</x:v>
      </x:c>
      <x:c r="M13" s="2" t="n">
        <x:f>C13-B13</x:f>
        <x:v>-67</x:v>
      </x:c>
      <x:c r="N13" s="2" t="str">
        <x:f>IF(H13="Closed Won","Closed",IF(H13="Closed Lost","Closed",IF(C13&lt;'Assumptions'!$F$2,"Slipped","Open")))</x:f>
        <x:v>Slipped</x:v>
      </x:c>
    </x:row>
    <x:row r="14">
      <x:c r="A14" s="2" t="str">
        <x:v>OPP-0013</x:v>
      </x:c>
      <x:c r="B14" s="8" t="d">
        <x:v>2026-01-14T00:00:00.000Z</x:v>
      </x:c>
      <x:c r="C14" s="8" t="d">
        <x:v>2026-05-07T00:00:00.000Z</x:v>
      </x:c>
      <x:c r="D14" s="2" t="str">
        <x:v>Account M1</x:v>
      </x:c>
      <x:c r="E14" s="2" t="str">
        <x:v>East</x:v>
      </x:c>
      <x:c r="F14" s="2" t="str">
        <x:v>Enterprise</x:v>
      </x:c>
      <x:c r="G14" s="2" t="str">
        <x:v>Avery Chen</x:v>
      </x:c>
      <x:c r="H14" s="2" t="str">
        <x:v>Qualification</x:v>
      </x:c>
      <x:c r="I14" s="7" t="n">
        <x:v>0.25</x:v>
      </x:c>
      <x:c r="J14" s="9" t="n">
        <x:v>105600</x:v>
      </x:c>
      <x:c r="K14" s="9" t="str">
        <x:v>Pipeline</x:v>
      </x:c>
      <x:c r="L14" s="9" t="n">
        <x:f>I14*J14</x:f>
        <x:v>26400</x:v>
      </x:c>
      <x:c r="M14" s="2" t="n">
        <x:f>C14-B14</x:f>
        <x:v>113</x:v>
      </x:c>
      <x:c r="N14" s="2" t="str">
        <x:f>IF(H14="Closed Won","Closed",IF(H14="Closed Lost","Closed",IF(C14&lt;'Assumptions'!$F$2,"Slipped","Open")))</x:f>
        <x:v>Slipped</x:v>
      </x:c>
    </x:row>
    <x:row r="15">
      <x:c r="A15" s="2" t="str">
        <x:v>OPP-0014</x:v>
      </x:c>
      <x:c r="B15" s="8" t="d">
        <x:v>2026-02-17T00:00:00.000Z</x:v>
      </x:c>
      <x:c r="C15" s="8" t="d">
        <x:v>2026-06-09T00:00:00.000Z</x:v>
      </x:c>
      <x:c r="D15" s="2" t="str">
        <x:v>Account N1</x:v>
      </x:c>
      <x:c r="E15" s="2" t="str">
        <x:v>West</x:v>
      </x:c>
      <x:c r="F15" s="2" t="str">
        <x:v>SMB</x:v>
      </x:c>
      <x:c r="G15" s="2" t="str">
        <x:v>Jordan Lee</x:v>
      </x:c>
      <x:c r="H15" s="2" t="str">
        <x:v>Prospecting</x:v>
      </x:c>
      <x:c r="I15" s="7" t="n">
        <x:v>0.1</x:v>
      </x:c>
      <x:c r="J15" s="9" t="n">
        <x:v>112900</x:v>
      </x:c>
      <x:c r="K15" s="9" t="str">
        <x:v>Pipeline</x:v>
      </x:c>
      <x:c r="L15" s="9" t="n">
        <x:f>I15*J15</x:f>
        <x:v>11290</x:v>
      </x:c>
      <x:c r="M15" s="2" t="n">
        <x:f>C15-B15</x:f>
        <x:v>112</x:v>
      </x:c>
      <x:c r="N15" s="2" t="str">
        <x:f>IF(H15="Closed Won","Closed",IF(H15="Closed Lost","Closed",IF(C15&lt;'Assumptions'!$F$2,"Slipped","Open")))</x:f>
        <x:v>Slipped</x:v>
      </x:c>
    </x:row>
    <x:row r="16">
      <x:c r="A16" s="2" t="str">
        <x:v>OPP-0015</x:v>
      </x:c>
      <x:c r="B16" s="8" t="d">
        <x:v>2026-03-20T00:00:00.000Z</x:v>
      </x:c>
      <x:c r="C16" s="8" t="d">
        <x:v>2026-07-11T00:00:00.000Z</x:v>
      </x:c>
      <x:c r="D16" s="2" t="str">
        <x:v>Account O1</x:v>
      </x:c>
      <x:c r="E16" s="2" t="str">
        <x:v>Central</x:v>
      </x:c>
      <x:c r="F16" s="2" t="str">
        <x:v>Mid-Market</x:v>
      </x:c>
      <x:c r="G16" s="2" t="str">
        <x:v>Morgan Patel</x:v>
      </x:c>
      <x:c r="H16" s="2" t="str">
        <x:v>Prospecting</x:v>
      </x:c>
      <x:c r="I16" s="7" t="n">
        <x:v>0.1</x:v>
      </x:c>
      <x:c r="J16" s="9" t="n">
        <x:v>120200</x:v>
      </x:c>
      <x:c r="K16" s="9" t="str">
        <x:v>Pipeline</x:v>
      </x:c>
      <x:c r="L16" s="9" t="n">
        <x:f>I16*J16</x:f>
        <x:v>12020</x:v>
      </x:c>
      <x:c r="M16" s="2" t="n">
        <x:f>C16-B16</x:f>
        <x:v>113</x:v>
      </x:c>
      <x:c r="N16" s="2" t="str">
        <x:f>IF(H16="Closed Won","Closed",IF(H16="Closed Lost","Closed",IF(C16&lt;'Assumptions'!$F$2,"Slipped","Open")))</x:f>
        <x:v>Open</x:v>
      </x:c>
    </x:row>
    <x:row r="17">
      <x:c r="A17" s="2" t="str">
        <x:v>OPP-0016</x:v>
      </x:c>
      <x:c r="B17" s="8" t="d">
        <x:v>2026-04-23T00:00:00.000Z</x:v>
      </x:c>
      <x:c r="C17" s="8" t="d">
        <x:v>2026-08-13T00:00:00.000Z</x:v>
      </x:c>
      <x:c r="D17" s="2" t="str">
        <x:v>Account P1</x:v>
      </x:c>
      <x:c r="E17" s="2" t="str">
        <x:v>East</x:v>
      </x:c>
      <x:c r="F17" s="2" t="str">
        <x:v>Enterprise</x:v>
      </x:c>
      <x:c r="G17" s="2" t="str">
        <x:v>Riley Smith</x:v>
      </x:c>
      <x:c r="H17" s="2" t="str">
        <x:v>Closed Lost</x:v>
      </x:c>
      <x:c r="I17" s="7" t="n">
        <x:v>0</x:v>
      </x:c>
      <x:c r="J17" s="9" t="n">
        <x:v>127500</x:v>
      </x:c>
      <x:c r="K17" s="9" t="str">
        <x:v>Closed</x:v>
      </x:c>
      <x:c r="L17" s="9" t="n">
        <x:f>I17*J17</x:f>
        <x:v>0</x:v>
      </x:c>
      <x:c r="M17" s="2" t="n">
        <x:f>C17-B17</x:f>
        <x:v>112</x:v>
      </x:c>
      <x:c r="N17" s="2" t="str">
        <x:f>IF(H17="Closed Won","Closed",IF(H17="Closed Lost","Closed",IF(C17&lt;'Assumptions'!$F$2,"Slipped","Open")))</x:f>
        <x:v>Closed</x:v>
      </x:c>
    </x:row>
    <x:row r="18">
      <x:c r="A18" s="2" t="str">
        <x:v>OPP-0017</x:v>
      </x:c>
      <x:c r="B18" s="8" t="d">
        <x:v>2026-05-02T00:00:00.000Z</x:v>
      </x:c>
      <x:c r="C18" s="8" t="d">
        <x:v>2026-09-15T00:00:00.000Z</x:v>
      </x:c>
      <x:c r="D18" s="2" t="str">
        <x:v>Account Q1</x:v>
      </x:c>
      <x:c r="E18" s="2" t="str">
        <x:v>West</x:v>
      </x:c>
      <x:c r="F18" s="2" t="str">
        <x:v>SMB</x:v>
      </x:c>
      <x:c r="G18" s="2" t="str">
        <x:v>Avery Chen</x:v>
      </x:c>
      <x:c r="H18" s="2" t="str">
        <x:v>Closed Won</x:v>
      </x:c>
      <x:c r="I18" s="7" t="n">
        <x:v>1</x:v>
      </x:c>
      <x:c r="J18" s="9" t="n">
        <x:v>134800</x:v>
      </x:c>
      <x:c r="K18" s="9" t="str">
        <x:v>Closed</x:v>
      </x:c>
      <x:c r="L18" s="9" t="n">
        <x:f>I18*J18</x:f>
        <x:v>134800</x:v>
      </x:c>
      <x:c r="M18" s="2" t="n">
        <x:f>C18-B18</x:f>
        <x:v>136</x:v>
      </x:c>
      <x:c r="N18" s="2" t="str">
        <x:f>IF(H18="Closed Won","Closed",IF(H18="Closed Lost","Closed",IF(C18&lt;'Assumptions'!$F$2,"Slipped","Open")))</x:f>
        <x:v>Closed</x:v>
      </x:c>
    </x:row>
    <x:row r="19">
      <x:c r="A19" s="2" t="str">
        <x:v>OPP-0018</x:v>
      </x:c>
      <x:c r="B19" s="8" t="d">
        <x:v>2026-06-05T00:00:00.000Z</x:v>
      </x:c>
      <x:c r="C19" s="8" t="d">
        <x:v>2026-10-17T00:00:00.000Z</x:v>
      </x:c>
      <x:c r="D19" s="2" t="str">
        <x:v>Account R1</x:v>
      </x:c>
      <x:c r="E19" s="2" t="str">
        <x:v>Central</x:v>
      </x:c>
      <x:c r="F19" s="2" t="str">
        <x:v>Mid-Market</x:v>
      </x:c>
      <x:c r="G19" s="2" t="str">
        <x:v>Jordan Lee</x:v>
      </x:c>
      <x:c r="H19" s="2" t="str">
        <x:v>Negotiation</x:v>
      </x:c>
      <x:c r="I19" s="7" t="n">
        <x:v>0.75</x:v>
      </x:c>
      <x:c r="J19" s="9" t="n">
        <x:v>142100</x:v>
      </x:c>
      <x:c r="K19" s="9" t="str">
        <x:v>Commit</x:v>
      </x:c>
      <x:c r="L19" s="9" t="n">
        <x:f>I19*J19</x:f>
        <x:v>106575</x:v>
      </x:c>
      <x:c r="M19" s="2" t="n">
        <x:f>C19-B19</x:f>
        <x:v>134</x:v>
      </x:c>
      <x:c r="N19" s="2" t="str">
        <x:f>IF(H19="Closed Won","Closed",IF(H19="Closed Lost","Closed",IF(C19&lt;'Assumptions'!$F$2,"Slipped","Open")))</x:f>
        <x:v>Open</x:v>
      </x:c>
    </x:row>
    <x:row r="20">
      <x:c r="A20" s="2" t="str">
        <x:v>OPP-0019</x:v>
      </x:c>
      <x:c r="B20" s="8" t="d">
        <x:v>2026-01-08T00:00:00.000Z</x:v>
      </x:c>
      <x:c r="C20" s="8" t="d">
        <x:v>2026-11-19T00:00:00.000Z</x:v>
      </x:c>
      <x:c r="D20" s="2" t="str">
        <x:v>Account S1</x:v>
      </x:c>
      <x:c r="E20" s="2" t="str">
        <x:v>East</x:v>
      </x:c>
      <x:c r="F20" s="2" t="str">
        <x:v>Enterprise</x:v>
      </x:c>
      <x:c r="G20" s="2" t="str">
        <x:v>Morgan Patel</x:v>
      </x:c>
      <x:c r="H20" s="2" t="str">
        <x:v>Proposal</x:v>
      </x:c>
      <x:c r="I20" s="7" t="n">
        <x:v>0.5</x:v>
      </x:c>
      <x:c r="J20" s="9" t="n">
        <x:v>149400</x:v>
      </x:c>
      <x:c r="K20" s="9" t="str">
        <x:v>Best Case</x:v>
      </x:c>
      <x:c r="L20" s="9" t="n">
        <x:f>I20*J20</x:f>
        <x:v>74700</x:v>
      </x:c>
      <x:c r="M20" s="2" t="n">
        <x:f>C20-B20</x:f>
        <x:v>315</x:v>
      </x:c>
      <x:c r="N20" s="2" t="str">
        <x:f>IF(H20="Closed Won","Closed",IF(H20="Closed Lost","Closed",IF(C20&lt;'Assumptions'!$F$2,"Slipped","Open")))</x:f>
        <x:v>Open</x:v>
      </x:c>
    </x:row>
    <x:row r="21">
      <x:c r="A21" s="2" t="str">
        <x:v>OPP-0020</x:v>
      </x:c>
      <x:c r="B21" s="8" t="d">
        <x:v>2026-02-11T00:00:00.000Z</x:v>
      </x:c>
      <x:c r="C21" s="8" t="d">
        <x:v>2026-12-21T00:00:00.000Z</x:v>
      </x:c>
      <x:c r="D21" s="2" t="str">
        <x:v>Account T1</x:v>
      </x:c>
      <x:c r="E21" s="2" t="str">
        <x:v>West</x:v>
      </x:c>
      <x:c r="F21" s="2" t="str">
        <x:v>SMB</x:v>
      </x:c>
      <x:c r="G21" s="2" t="str">
        <x:v>Riley Smith</x:v>
      </x:c>
      <x:c r="H21" s="2" t="str">
        <x:v>Qualification</x:v>
      </x:c>
      <x:c r="I21" s="7" t="n">
        <x:v>0.25</x:v>
      </x:c>
      <x:c r="J21" s="9" t="n">
        <x:v>156700</x:v>
      </x:c>
      <x:c r="K21" s="9" t="str">
        <x:v>Pipeline</x:v>
      </x:c>
      <x:c r="L21" s="9" t="n">
        <x:f>I21*J21</x:f>
        <x:v>39175</x:v>
      </x:c>
      <x:c r="M21" s="2" t="n">
        <x:f>C21-B21</x:f>
        <x:v>313</x:v>
      </x:c>
      <x:c r="N21" s="2" t="str">
        <x:f>IF(H21="Closed Won","Closed",IF(H21="Closed Lost","Closed",IF(C21&lt;'Assumptions'!$F$2,"Slipped","Open")))</x:f>
        <x:v>Open</x:v>
      </x:c>
    </x:row>
    <x:row r="22">
      <x:c r="A22" s="2" t="str">
        <x:v>OPP-0021</x:v>
      </x:c>
      <x:c r="B22" s="8" t="d">
        <x:v>2026-03-14T00:00:00.000Z</x:v>
      </x:c>
      <x:c r="C22" s="8" t="d">
        <x:v>2026-03-23T00:00:00.000Z</x:v>
      </x:c>
      <x:c r="D22" s="2" t="str">
        <x:v>Account U1</x:v>
      </x:c>
      <x:c r="E22" s="2" t="str">
        <x:v>Central</x:v>
      </x:c>
      <x:c r="F22" s="2" t="str">
        <x:v>Mid-Market</x:v>
      </x:c>
      <x:c r="G22" s="2" t="str">
        <x:v>Avery Chen</x:v>
      </x:c>
      <x:c r="H22" s="2" t="str">
        <x:v>Prospecting</x:v>
      </x:c>
      <x:c r="I22" s="7" t="n">
        <x:v>0.1</x:v>
      </x:c>
      <x:c r="J22" s="9" t="n">
        <x:v>164000</x:v>
      </x:c>
      <x:c r="K22" s="9" t="str">
        <x:v>Pipeline</x:v>
      </x:c>
      <x:c r="L22" s="9" t="n">
        <x:f>I22*J22</x:f>
        <x:v>16400</x:v>
      </x:c>
      <x:c r="M22" s="2" t="n">
        <x:f>C22-B22</x:f>
        <x:v>9</x:v>
      </x:c>
      <x:c r="N22" s="2" t="str">
        <x:f>IF(H22="Closed Won","Closed",IF(H22="Closed Lost","Closed",IF(C22&lt;'Assumptions'!$F$2,"Slipped","Open")))</x:f>
        <x:v>Slipped</x:v>
      </x:c>
    </x:row>
    <x:row r="23">
      <x:c r="A23" s="2" t="str">
        <x:v>OPP-0022</x:v>
      </x:c>
      <x:c r="B23" s="8" t="d">
        <x:v>2026-04-17T00:00:00.000Z</x:v>
      </x:c>
      <x:c r="C23" s="8" t="d">
        <x:v>2026-04-25T00:00:00.000Z</x:v>
      </x:c>
      <x:c r="D23" s="2" t="str">
        <x:v>Account V1</x:v>
      </x:c>
      <x:c r="E23" s="2" t="str">
        <x:v>East</x:v>
      </x:c>
      <x:c r="F23" s="2" t="str">
        <x:v>Enterprise</x:v>
      </x:c>
      <x:c r="G23" s="2" t="str">
        <x:v>Jordan Lee</x:v>
      </x:c>
      <x:c r="H23" s="2" t="str">
        <x:v>Prospecting</x:v>
      </x:c>
      <x:c r="I23" s="7" t="n">
        <x:v>0.1</x:v>
      </x:c>
      <x:c r="J23" s="9" t="n">
        <x:v>171300</x:v>
      </x:c>
      <x:c r="K23" s="9" t="str">
        <x:v>Pipeline</x:v>
      </x:c>
      <x:c r="L23" s="9" t="n">
        <x:f>I23*J23</x:f>
        <x:v>17130</x:v>
      </x:c>
      <x:c r="M23" s="2" t="n">
        <x:f>C23-B23</x:f>
        <x:v>8</x:v>
      </x:c>
      <x:c r="N23" s="2" t="str">
        <x:f>IF(H23="Closed Won","Closed",IF(H23="Closed Lost","Closed",IF(C23&lt;'Assumptions'!$F$2,"Slipped","Open")))</x:f>
        <x:v>Slipped</x:v>
      </x:c>
    </x:row>
    <x:row r="24">
      <x:c r="A24" s="2" t="str">
        <x:v>OPP-0023</x:v>
      </x:c>
      <x:c r="B24" s="8" t="d">
        <x:v>2026-05-20T00:00:00.000Z</x:v>
      </x:c>
      <x:c r="C24" s="8" t="d">
        <x:v>2026-05-05T00:00:00.000Z</x:v>
      </x:c>
      <x:c r="D24" s="2" t="str">
        <x:v>Account W1</x:v>
      </x:c>
      <x:c r="E24" s="2" t="str">
        <x:v>West</x:v>
      </x:c>
      <x:c r="F24" s="2" t="str">
        <x:v>SMB</x:v>
      </x:c>
      <x:c r="G24" s="2" t="str">
        <x:v>Morgan Patel</x:v>
      </x:c>
      <x:c r="H24" s="2" t="str">
        <x:v>Closed Lost</x:v>
      </x:c>
      <x:c r="I24" s="7" t="n">
        <x:v>0</x:v>
      </x:c>
      <x:c r="J24" s="9" t="n">
        <x:v>178600</x:v>
      </x:c>
      <x:c r="K24" s="9" t="str">
        <x:v>Closed</x:v>
      </x:c>
      <x:c r="L24" s="9" t="n">
        <x:f>I24*J24</x:f>
        <x:v>0</x:v>
      </x:c>
      <x:c r="M24" s="2" t="n">
        <x:f>C24-B24</x:f>
        <x:v>-15</x:v>
      </x:c>
      <x:c r="N24" s="2" t="str">
        <x:f>IF(H24="Closed Won","Closed",IF(H24="Closed Lost","Closed",IF(C24&lt;'Assumptions'!$F$2,"Slipped","Open")))</x:f>
        <x:v>Closed</x:v>
      </x:c>
    </x:row>
    <x:row r="25">
      <x:c r="A25" s="2" t="str">
        <x:v>OPP-0024</x:v>
      </x:c>
      <x:c r="B25" s="8" t="d">
        <x:v>2026-06-23T00:00:00.000Z</x:v>
      </x:c>
      <x:c r="C25" s="8" t="d">
        <x:v>2026-06-07T00:00:00.000Z</x:v>
      </x:c>
      <x:c r="D25" s="2" t="str">
        <x:v>Account X1</x:v>
      </x:c>
      <x:c r="E25" s="2" t="str">
        <x:v>Central</x:v>
      </x:c>
      <x:c r="F25" s="2" t="str">
        <x:v>Mid-Market</x:v>
      </x:c>
      <x:c r="G25" s="2" t="str">
        <x:v>Riley Smith</x:v>
      </x:c>
      <x:c r="H25" s="2" t="str">
        <x:v>Closed Won</x:v>
      </x:c>
      <x:c r="I25" s="7" t="n">
        <x:v>1</x:v>
      </x:c>
      <x:c r="J25" s="9" t="n">
        <x:v>20900</x:v>
      </x:c>
      <x:c r="K25" s="9" t="str">
        <x:v>Closed</x:v>
      </x:c>
      <x:c r="L25" s="9" t="n">
        <x:f>I25*J25</x:f>
        <x:v>20900</x:v>
      </x:c>
      <x:c r="M25" s="2" t="n">
        <x:f>C25-B25</x:f>
        <x:v>-16</x:v>
      </x:c>
      <x:c r="N25" s="2" t="str">
        <x:f>IF(H25="Closed Won","Closed",IF(H25="Closed Lost","Closed",IF(C25&lt;'Assumptions'!$F$2,"Slipped","Open")))</x:f>
        <x:v>Closed</x:v>
      </x:c>
    </x:row>
    <x:row r="26">
      <x:c r="A26" s="2" t="str">
        <x:v>OPP-0025</x:v>
      </x:c>
      <x:c r="B26" s="8" t="d">
        <x:v>2026-01-02T00:00:00.000Z</x:v>
      </x:c>
      <x:c r="C26" s="8" t="d">
        <x:v>2026-07-09T00:00:00.000Z</x:v>
      </x:c>
      <x:c r="D26" s="2" t="str">
        <x:v>Account Y1</x:v>
      </x:c>
      <x:c r="E26" s="2" t="str">
        <x:v>East</x:v>
      </x:c>
      <x:c r="F26" s="2" t="str">
        <x:v>Enterprise</x:v>
      </x:c>
      <x:c r="G26" s="2" t="str">
        <x:v>Avery Chen</x:v>
      </x:c>
      <x:c r="H26" s="2" t="str">
        <x:v>Negotiation</x:v>
      </x:c>
      <x:c r="I26" s="7" t="n">
        <x:v>0.75</x:v>
      </x:c>
      <x:c r="J26" s="9" t="n">
        <x:v>28200</x:v>
      </x:c>
      <x:c r="K26" s="9" t="str">
        <x:v>Commit</x:v>
      </x:c>
      <x:c r="L26" s="9" t="n">
        <x:f>I26*J26</x:f>
        <x:v>21150</x:v>
      </x:c>
      <x:c r="M26" s="2" t="n">
        <x:f>C26-B26</x:f>
        <x:v>188</x:v>
      </x:c>
      <x:c r="N26" s="2" t="str">
        <x:f>IF(H26="Closed Won","Closed",IF(H26="Closed Lost","Closed",IF(C26&lt;'Assumptions'!$F$2,"Slipped","Open")))</x:f>
        <x:v>Open</x:v>
      </x:c>
    </x:row>
    <x:row r="27">
      <x:c r="A27" s="2" t="str">
        <x:v>OPP-0026</x:v>
      </x:c>
      <x:c r="B27" s="8" t="d">
        <x:v>2026-02-05T00:00:00.000Z</x:v>
      </x:c>
      <x:c r="C27" s="8" t="d">
        <x:v>2026-08-11T00:00:00.000Z</x:v>
      </x:c>
      <x:c r="D27" s="2" t="str">
        <x:v>Account Z1</x:v>
      </x:c>
      <x:c r="E27" s="2" t="str">
        <x:v>West</x:v>
      </x:c>
      <x:c r="F27" s="2" t="str">
        <x:v>SMB</x:v>
      </x:c>
      <x:c r="G27" s="2" t="str">
        <x:v>Jordan Lee</x:v>
      </x:c>
      <x:c r="H27" s="2" t="str">
        <x:v>Proposal</x:v>
      </x:c>
      <x:c r="I27" s="7" t="n">
        <x:v>0.5</x:v>
      </x:c>
      <x:c r="J27" s="9" t="n">
        <x:v>35500</x:v>
      </x:c>
      <x:c r="K27" s="9" t="str">
        <x:v>Best Case</x:v>
      </x:c>
      <x:c r="L27" s="9" t="n">
        <x:f>I27*J27</x:f>
        <x:v>17750</x:v>
      </x:c>
      <x:c r="M27" s="2" t="n">
        <x:f>C27-B27</x:f>
        <x:v>187</x:v>
      </x:c>
      <x:c r="N27" s="2" t="str">
        <x:f>IF(H27="Closed Won","Closed",IF(H27="Closed Lost","Closed",IF(C27&lt;'Assumptions'!$F$2,"Slipped","Open")))</x:f>
        <x:v>Open</x:v>
      </x:c>
    </x:row>
    <x:row r="28">
      <x:c r="A28" s="2" t="str">
        <x:v>OPP-0027</x:v>
      </x:c>
      <x:c r="B28" s="8" t="d">
        <x:v>2026-03-08T00:00:00.000Z</x:v>
      </x:c>
      <x:c r="C28" s="8" t="d">
        <x:v>2026-09-13T00:00:00.000Z</x:v>
      </x:c>
      <x:c r="D28" s="2" t="str">
        <x:v>Account A2</x:v>
      </x:c>
      <x:c r="E28" s="2" t="str">
        <x:v>Central</x:v>
      </x:c>
      <x:c r="F28" s="2" t="str">
        <x:v>Mid-Market</x:v>
      </x:c>
      <x:c r="G28" s="2" t="str">
        <x:v>Morgan Patel</x:v>
      </x:c>
      <x:c r="H28" s="2" t="str">
        <x:v>Qualification</x:v>
      </x:c>
      <x:c r="I28" s="7" t="n">
        <x:v>0.25</x:v>
      </x:c>
      <x:c r="J28" s="9" t="n">
        <x:v>42800</x:v>
      </x:c>
      <x:c r="K28" s="9" t="str">
        <x:v>Pipeline</x:v>
      </x:c>
      <x:c r="L28" s="9" t="n">
        <x:f>I28*J28</x:f>
        <x:v>10700</x:v>
      </x:c>
      <x:c r="M28" s="2" t="n">
        <x:f>C28-B28</x:f>
        <x:v>189</x:v>
      </x:c>
      <x:c r="N28" s="2" t="str">
        <x:f>IF(H28="Closed Won","Closed",IF(H28="Closed Lost","Closed",IF(C28&lt;'Assumptions'!$F$2,"Slipped","Open")))</x:f>
        <x:v>Open</x:v>
      </x:c>
    </x:row>
    <x:row r="29">
      <x:c r="A29" s="2" t="str">
        <x:v>OPP-0028</x:v>
      </x:c>
      <x:c r="B29" s="8" t="d">
        <x:v>2026-04-11T00:00:00.000Z</x:v>
      </x:c>
      <x:c r="C29" s="8" t="d">
        <x:v>2026-10-15T00:00:00.000Z</x:v>
      </x:c>
      <x:c r="D29" s="2" t="str">
        <x:v>Account B2</x:v>
      </x:c>
      <x:c r="E29" s="2" t="str">
        <x:v>East</x:v>
      </x:c>
      <x:c r="F29" s="2" t="str">
        <x:v>Enterprise</x:v>
      </x:c>
      <x:c r="G29" s="2" t="str">
        <x:v>Riley Smith</x:v>
      </x:c>
      <x:c r="H29" s="2" t="str">
        <x:v>Prospecting</x:v>
      </x:c>
      <x:c r="I29" s="7" t="n">
        <x:v>0.1</x:v>
      </x:c>
      <x:c r="J29" s="9" t="n">
        <x:v>50100</x:v>
      </x:c>
      <x:c r="K29" s="9" t="str">
        <x:v>Pipeline</x:v>
      </x:c>
      <x:c r="L29" s="9" t="n">
        <x:f>I29*J29</x:f>
        <x:v>5010</x:v>
      </x:c>
      <x:c r="M29" s="2" t="n">
        <x:f>C29-B29</x:f>
        <x:v>187</x:v>
      </x:c>
      <x:c r="N29" s="2" t="str">
        <x:f>IF(H29="Closed Won","Closed",IF(H29="Closed Lost","Closed",IF(C29&lt;'Assumptions'!$F$2,"Slipped","Open")))</x:f>
        <x:v>Open</x:v>
      </x:c>
    </x:row>
    <x:row r="30">
      <x:c r="A30" s="2" t="str">
        <x:v>OPP-0029</x:v>
      </x:c>
      <x:c r="B30" s="8" t="d">
        <x:v>2026-05-14T00:00:00.000Z</x:v>
      </x:c>
      <x:c r="C30" s="8" t="d">
        <x:v>2026-11-17T00:00:00.000Z</x:v>
      </x:c>
      <x:c r="D30" s="2" t="str">
        <x:v>Account C2</x:v>
      </x:c>
      <x:c r="E30" s="2" t="str">
        <x:v>West</x:v>
      </x:c>
      <x:c r="F30" s="2" t="str">
        <x:v>SMB</x:v>
      </x:c>
      <x:c r="G30" s="2" t="str">
        <x:v>Avery Chen</x:v>
      </x:c>
      <x:c r="H30" s="2" t="str">
        <x:v>Prospecting</x:v>
      </x:c>
      <x:c r="I30" s="7" t="n">
        <x:v>0.1</x:v>
      </x:c>
      <x:c r="J30" s="9" t="n">
        <x:v>57400</x:v>
      </x:c>
      <x:c r="K30" s="9" t="str">
        <x:v>Pipeline</x:v>
      </x:c>
      <x:c r="L30" s="9" t="n">
        <x:f>I30*J30</x:f>
        <x:v>5740</x:v>
      </x:c>
      <x:c r="M30" s="2" t="n">
        <x:f>C30-B30</x:f>
        <x:v>187</x:v>
      </x:c>
      <x:c r="N30" s="2" t="str">
        <x:f>IF(H30="Closed Won","Closed",IF(H30="Closed Lost","Closed",IF(C30&lt;'Assumptions'!$F$2,"Slipped","Open")))</x:f>
        <x:v>Open</x:v>
      </x:c>
    </x:row>
    <x:row r="31">
      <x:c r="A31" s="2" t="str">
        <x:v>OPP-0030</x:v>
      </x:c>
      <x:c r="B31" s="8" t="d">
        <x:v>2026-06-17T00:00:00.000Z</x:v>
      </x:c>
      <x:c r="C31" s="8" t="d">
        <x:v>2026-12-19T00:00:00.000Z</x:v>
      </x:c>
      <x:c r="D31" s="2" t="str">
        <x:v>Account D2</x:v>
      </x:c>
      <x:c r="E31" s="2" t="str">
        <x:v>Central</x:v>
      </x:c>
      <x:c r="F31" s="2" t="str">
        <x:v>Mid-Market</x:v>
      </x:c>
      <x:c r="G31" s="2" t="str">
        <x:v>Jordan Lee</x:v>
      </x:c>
      <x:c r="H31" s="2" t="str">
        <x:v>Closed Lost</x:v>
      </x:c>
      <x:c r="I31" s="7" t="n">
        <x:v>0</x:v>
      </x:c>
      <x:c r="J31" s="9" t="n">
        <x:v>64700</x:v>
      </x:c>
      <x:c r="K31" s="9" t="str">
        <x:v>Closed</x:v>
      </x:c>
      <x:c r="L31" s="9" t="n">
        <x:f>I31*J31</x:f>
        <x:v>0</x:v>
      </x:c>
      <x:c r="M31" s="2" t="n">
        <x:f>C31-B31</x:f>
        <x:v>185</x:v>
      </x:c>
      <x:c r="N31" s="2" t="str">
        <x:f>IF(H31="Closed Won","Closed",IF(H31="Closed Lost","Closed",IF(C31&lt;'Assumptions'!$F$2,"Slipped","Open")))</x:f>
        <x:v>Closed</x:v>
      </x:c>
    </x:row>
    <x:row r="32">
      <x:c r="A32" s="2" t="str">
        <x:v>OPP-0031</x:v>
      </x:c>
      <x:c r="B32" s="8" t="d">
        <x:v>2026-01-20T00:00:00.000Z</x:v>
      </x:c>
      <x:c r="C32" s="8" t="d">
        <x:v>2026-03-21T00:00:00.000Z</x:v>
      </x:c>
      <x:c r="D32" s="2" t="str">
        <x:v>Account E2</x:v>
      </x:c>
      <x:c r="E32" s="2" t="str">
        <x:v>East</x:v>
      </x:c>
      <x:c r="F32" s="2" t="str">
        <x:v>Enterprise</x:v>
      </x:c>
      <x:c r="G32" s="2" t="str">
        <x:v>Morgan Patel</x:v>
      </x:c>
      <x:c r="H32" s="2" t="str">
        <x:v>Closed Won</x:v>
      </x:c>
      <x:c r="I32" s="7" t="n">
        <x:v>1</x:v>
      </x:c>
      <x:c r="J32" s="9" t="n">
        <x:v>72000</x:v>
      </x:c>
      <x:c r="K32" s="9" t="str">
        <x:v>Closed</x:v>
      </x:c>
      <x:c r="L32" s="9" t="n">
        <x:f>I32*J32</x:f>
        <x:v>72000</x:v>
      </x:c>
      <x:c r="M32" s="2" t="n">
        <x:f>C32-B32</x:f>
        <x:v>60</x:v>
      </x:c>
      <x:c r="N32" s="2" t="str">
        <x:f>IF(H32="Closed Won","Closed",IF(H32="Closed Lost","Closed",IF(C32&lt;'Assumptions'!$F$2,"Slipped","Open")))</x:f>
        <x:v>Closed</x:v>
      </x:c>
    </x:row>
    <x:row r="33">
      <x:c r="A33" s="2" t="str">
        <x:v>OPP-0032</x:v>
      </x:c>
      <x:c r="B33" s="8" t="d">
        <x:v>2026-02-23T00:00:00.000Z</x:v>
      </x:c>
      <x:c r="C33" s="8" t="d">
        <x:v>2026-04-23T00:00:00.000Z</x:v>
      </x:c>
      <x:c r="D33" s="2" t="str">
        <x:v>Account F2</x:v>
      </x:c>
      <x:c r="E33" s="2" t="str">
        <x:v>West</x:v>
      </x:c>
      <x:c r="F33" s="2" t="str">
        <x:v>SMB</x:v>
      </x:c>
      <x:c r="G33" s="2" t="str">
        <x:v>Riley Smith</x:v>
      </x:c>
      <x:c r="H33" s="2" t="str">
        <x:v>Negotiation</x:v>
      </x:c>
      <x:c r="I33" s="7" t="n">
        <x:v>0.75</x:v>
      </x:c>
      <x:c r="J33" s="9" t="n">
        <x:v>79300</x:v>
      </x:c>
      <x:c r="K33" s="9" t="str">
        <x:v>Commit</x:v>
      </x:c>
      <x:c r="L33" s="9" t="n">
        <x:f>I33*J33</x:f>
        <x:v>59475</x:v>
      </x:c>
      <x:c r="M33" s="2" t="n">
        <x:f>C33-B33</x:f>
        <x:v>59</x:v>
      </x:c>
      <x:c r="N33" s="2" t="str">
        <x:f>IF(H33="Closed Won","Closed",IF(H33="Closed Lost","Closed",IF(C33&lt;'Assumptions'!$F$2,"Slipped","Open")))</x:f>
        <x:v>Slipped</x:v>
      </x:c>
    </x:row>
    <x:row r="34">
      <x:c r="A34" s="2" t="str">
        <x:v>OPP-0033</x:v>
      </x:c>
      <x:c r="B34" s="8" t="d">
        <x:v>2026-03-02T00:00:00.000Z</x:v>
      </x:c>
      <x:c r="C34" s="8" t="d">
        <x:v>2026-05-25T00:00:00.000Z</x:v>
      </x:c>
      <x:c r="D34" s="2" t="str">
        <x:v>Account G2</x:v>
      </x:c>
      <x:c r="E34" s="2" t="str">
        <x:v>Central</x:v>
      </x:c>
      <x:c r="F34" s="2" t="str">
        <x:v>Mid-Market</x:v>
      </x:c>
      <x:c r="G34" s="2" t="str">
        <x:v>Avery Chen</x:v>
      </x:c>
      <x:c r="H34" s="2" t="str">
        <x:v>Proposal</x:v>
      </x:c>
      <x:c r="I34" s="7" t="n">
        <x:v>0.5</x:v>
      </x:c>
      <x:c r="J34" s="9" t="n">
        <x:v>86600</x:v>
      </x:c>
      <x:c r="K34" s="9" t="str">
        <x:v>Best Case</x:v>
      </x:c>
      <x:c r="L34" s="9" t="n">
        <x:f>I34*J34</x:f>
        <x:v>43300</x:v>
      </x:c>
      <x:c r="M34" s="2" t="n">
        <x:f>C34-B34</x:f>
        <x:v>84</x:v>
      </x:c>
      <x:c r="N34" s="2" t="str">
        <x:f>IF(H34="Closed Won","Closed",IF(H34="Closed Lost","Closed",IF(C34&lt;'Assumptions'!$F$2,"Slipped","Open")))</x:f>
        <x:v>Slipped</x:v>
      </x:c>
    </x:row>
    <x:row r="35">
      <x:c r="A35" s="2" t="str">
        <x:v>OPP-0034</x:v>
      </x:c>
      <x:c r="B35" s="8" t="d">
        <x:v>2026-04-05T00:00:00.000Z</x:v>
      </x:c>
      <x:c r="C35" s="8" t="d">
        <x:v>2026-06-05T00:00:00.000Z</x:v>
      </x:c>
      <x:c r="D35" s="2" t="str">
        <x:v>Account H2</x:v>
      </x:c>
      <x:c r="E35" s="2" t="str">
        <x:v>East</x:v>
      </x:c>
      <x:c r="F35" s="2" t="str">
        <x:v>Enterprise</x:v>
      </x:c>
      <x:c r="G35" s="2" t="str">
        <x:v>Jordan Lee</x:v>
      </x:c>
      <x:c r="H35" s="2" t="str">
        <x:v>Qualification</x:v>
      </x:c>
      <x:c r="I35" s="7" t="n">
        <x:v>0.25</x:v>
      </x:c>
      <x:c r="J35" s="9" t="n">
        <x:v>93900</x:v>
      </x:c>
      <x:c r="K35" s="9" t="str">
        <x:v>Pipeline</x:v>
      </x:c>
      <x:c r="L35" s="9" t="n">
        <x:f>I35*J35</x:f>
        <x:v>23475</x:v>
      </x:c>
      <x:c r="M35" s="2" t="n">
        <x:f>C35-B35</x:f>
        <x:v>61</x:v>
      </x:c>
      <x:c r="N35" s="2" t="str">
        <x:f>IF(H35="Closed Won","Closed",IF(H35="Closed Lost","Closed",IF(C35&lt;'Assumptions'!$F$2,"Slipped","Open")))</x:f>
        <x:v>Slipped</x:v>
      </x:c>
    </x:row>
    <x:row r="36">
      <x:c r="A36" s="2" t="str">
        <x:v>OPP-0035</x:v>
      </x:c>
      <x:c r="B36" s="8" t="d">
        <x:v>2026-05-08T00:00:00.000Z</x:v>
      </x:c>
      <x:c r="C36" s="8" t="d">
        <x:v>2026-07-07T00:00:00.000Z</x:v>
      </x:c>
      <x:c r="D36" s="2" t="str">
        <x:v>Account I2</x:v>
      </x:c>
      <x:c r="E36" s="2" t="str">
        <x:v>West</x:v>
      </x:c>
      <x:c r="F36" s="2" t="str">
        <x:v>SMB</x:v>
      </x:c>
      <x:c r="G36" s="2" t="str">
        <x:v>Morgan Patel</x:v>
      </x:c>
      <x:c r="H36" s="2" t="str">
        <x:v>Prospecting</x:v>
      </x:c>
      <x:c r="I36" s="7" t="n">
        <x:v>0.1</x:v>
      </x:c>
      <x:c r="J36" s="9" t="n">
        <x:v>101200</x:v>
      </x:c>
      <x:c r="K36" s="9" t="str">
        <x:v>Pipeline</x:v>
      </x:c>
      <x:c r="L36" s="9" t="n">
        <x:f>I36*J36</x:f>
        <x:v>10120</x:v>
      </x:c>
      <x:c r="M36" s="2" t="n">
        <x:f>C36-B36</x:f>
        <x:v>60</x:v>
      </x:c>
      <x:c r="N36" s="2" t="str">
        <x:f>IF(H36="Closed Won","Closed",IF(H36="Closed Lost","Closed",IF(C36&lt;'Assumptions'!$F$2,"Slipped","Open")))</x:f>
        <x:v>Open</x:v>
      </x:c>
    </x:row>
    <x:row r="37">
      <x:c r="A37" s="2" t="str">
        <x:v>OPP-0036</x:v>
      </x:c>
      <x:c r="B37" s="8" t="d">
        <x:v>2026-06-11T00:00:00.000Z</x:v>
      </x:c>
      <x:c r="C37" s="8" t="d">
        <x:v>2026-08-09T00:00:00.000Z</x:v>
      </x:c>
      <x:c r="D37" s="2" t="str">
        <x:v>Account J2</x:v>
      </x:c>
      <x:c r="E37" s="2" t="str">
        <x:v>Central</x:v>
      </x:c>
      <x:c r="F37" s="2" t="str">
        <x:v>Mid-Market</x:v>
      </x:c>
      <x:c r="G37" s="2" t="str">
        <x:v>Riley Smith</x:v>
      </x:c>
      <x:c r="H37" s="2" t="str">
        <x:v>Prospecting</x:v>
      </x:c>
      <x:c r="I37" s="7" t="n">
        <x:v>0.1</x:v>
      </x:c>
      <x:c r="J37" s="9" t="n">
        <x:v>108500</x:v>
      </x:c>
      <x:c r="K37" s="9" t="str">
        <x:v>Pipeline</x:v>
      </x:c>
      <x:c r="L37" s="9" t="n">
        <x:f>I37*J37</x:f>
        <x:v>10850</x:v>
      </x:c>
      <x:c r="M37" s="2" t="n">
        <x:f>C37-B37</x:f>
        <x:v>59</x:v>
      </x:c>
      <x:c r="N37" s="2" t="str">
        <x:f>IF(H37="Closed Won","Closed",IF(H37="Closed Lost","Closed",IF(C37&lt;'Assumptions'!$F$2,"Slipped","Open")))</x:f>
        <x:v>Open</x:v>
      </x:c>
    </x:row>
    <x:row r="38">
      <x:c r="A38" s="2" t="str">
        <x:v>OPP-0037</x:v>
      </x:c>
      <x:c r="B38" s="8" t="d">
        <x:v>2026-01-14T00:00:00.000Z</x:v>
      </x:c>
      <x:c r="C38" s="8" t="d">
        <x:v>2026-09-11T00:00:00.000Z</x:v>
      </x:c>
      <x:c r="D38" s="2" t="str">
        <x:v>Account K2</x:v>
      </x:c>
      <x:c r="E38" s="2" t="str">
        <x:v>East</x:v>
      </x:c>
      <x:c r="F38" s="2" t="str">
        <x:v>Enterprise</x:v>
      </x:c>
      <x:c r="G38" s="2" t="str">
        <x:v>Avery Chen</x:v>
      </x:c>
      <x:c r="H38" s="2" t="str">
        <x:v>Closed Lost</x:v>
      </x:c>
      <x:c r="I38" s="7" t="n">
        <x:v>0</x:v>
      </x:c>
      <x:c r="J38" s="9" t="n">
        <x:v>115800</x:v>
      </x:c>
      <x:c r="K38" s="9" t="str">
        <x:v>Closed</x:v>
      </x:c>
      <x:c r="L38" s="9" t="n">
        <x:f>I38*J38</x:f>
        <x:v>0</x:v>
      </x:c>
      <x:c r="M38" s="2" t="n">
        <x:f>C38-B38</x:f>
        <x:v>240</x:v>
      </x:c>
      <x:c r="N38" s="2" t="str">
        <x:f>IF(H38="Closed Won","Closed",IF(H38="Closed Lost","Closed",IF(C38&lt;'Assumptions'!$F$2,"Slipped","Open")))</x:f>
        <x:v>Closed</x:v>
      </x:c>
    </x:row>
    <x:row r="39">
      <x:c r="A39" s="2" t="str">
        <x:v>OPP-0038</x:v>
      </x:c>
      <x:c r="B39" s="8" t="d">
        <x:v>2026-02-17T00:00:00.000Z</x:v>
      </x:c>
      <x:c r="C39" s="8" t="d">
        <x:v>2026-10-13T00:00:00.000Z</x:v>
      </x:c>
      <x:c r="D39" s="2" t="str">
        <x:v>Account L2</x:v>
      </x:c>
      <x:c r="E39" s="2" t="str">
        <x:v>West</x:v>
      </x:c>
      <x:c r="F39" s="2" t="str">
        <x:v>SMB</x:v>
      </x:c>
      <x:c r="G39" s="2" t="str">
        <x:v>Jordan Lee</x:v>
      </x:c>
      <x:c r="H39" s="2" t="str">
        <x:v>Closed Won</x:v>
      </x:c>
      <x:c r="I39" s="7" t="n">
        <x:v>1</x:v>
      </x:c>
      <x:c r="J39" s="9" t="n">
        <x:v>123100</x:v>
      </x:c>
      <x:c r="K39" s="9" t="str">
        <x:v>Closed</x:v>
      </x:c>
      <x:c r="L39" s="9" t="n">
        <x:f>I39*J39</x:f>
        <x:v>123100</x:v>
      </x:c>
      <x:c r="M39" s="2" t="n">
        <x:f>C39-B39</x:f>
        <x:v>238</x:v>
      </x:c>
      <x:c r="N39" s="2" t="str">
        <x:f>IF(H39="Closed Won","Closed",IF(H39="Closed Lost","Closed",IF(C39&lt;'Assumptions'!$F$2,"Slipped","Open")))</x:f>
        <x:v>Closed</x:v>
      </x:c>
    </x:row>
    <x:row r="40">
      <x:c r="A40" s="2" t="str">
        <x:v>OPP-0039</x:v>
      </x:c>
      <x:c r="B40" s="8" t="d">
        <x:v>2026-03-20T00:00:00.000Z</x:v>
      </x:c>
      <x:c r="C40" s="8" t="d">
        <x:v>2026-11-15T00:00:00.000Z</x:v>
      </x:c>
      <x:c r="D40" s="2" t="str">
        <x:v>Account M2</x:v>
      </x:c>
      <x:c r="E40" s="2" t="str">
        <x:v>Central</x:v>
      </x:c>
      <x:c r="F40" s="2" t="str">
        <x:v>Mid-Market</x:v>
      </x:c>
      <x:c r="G40" s="2" t="str">
        <x:v>Morgan Patel</x:v>
      </x:c>
      <x:c r="H40" s="2" t="str">
        <x:v>Negotiation</x:v>
      </x:c>
      <x:c r="I40" s="7" t="n">
        <x:v>0.75</x:v>
      </x:c>
      <x:c r="J40" s="9" t="n">
        <x:v>130400</x:v>
      </x:c>
      <x:c r="K40" s="9" t="str">
        <x:v>Commit</x:v>
      </x:c>
      <x:c r="L40" s="9" t="n">
        <x:f>I40*J40</x:f>
        <x:v>97800</x:v>
      </x:c>
      <x:c r="M40" s="2" t="n">
        <x:f>C40-B40</x:f>
        <x:v>240</x:v>
      </x:c>
      <x:c r="N40" s="2" t="str">
        <x:f>IF(H40="Closed Won","Closed",IF(H40="Closed Lost","Closed",IF(C40&lt;'Assumptions'!$F$2,"Slipped","Open")))</x:f>
        <x:v>Open</x:v>
      </x:c>
    </x:row>
    <x:row r="41">
      <x:c r="A41" s="2" t="str">
        <x:v>OPP-0040</x:v>
      </x:c>
      <x:c r="B41" s="8" t="d">
        <x:v>2026-04-23T00:00:00.000Z</x:v>
      </x:c>
      <x:c r="C41" s="8" t="d">
        <x:v>2026-12-17T00:00:00.000Z</x:v>
      </x:c>
      <x:c r="D41" s="2" t="str">
        <x:v>Account N2</x:v>
      </x:c>
      <x:c r="E41" s="2" t="str">
        <x:v>East</x:v>
      </x:c>
      <x:c r="F41" s="2" t="str">
        <x:v>Enterprise</x:v>
      </x:c>
      <x:c r="G41" s="2" t="str">
        <x:v>Riley Smith</x:v>
      </x:c>
      <x:c r="H41" s="2" t="str">
        <x:v>Proposal</x:v>
      </x:c>
      <x:c r="I41" s="7" t="n">
        <x:v>0.5</x:v>
      </x:c>
      <x:c r="J41" s="9" t="n">
        <x:v>137700</x:v>
      </x:c>
      <x:c r="K41" s="9" t="str">
        <x:v>Best Case</x:v>
      </x:c>
      <x:c r="L41" s="9" t="n">
        <x:f>I41*J41</x:f>
        <x:v>68850</x:v>
      </x:c>
      <x:c r="M41" s="2" t="n">
        <x:f>C41-B41</x:f>
        <x:v>238</x:v>
      </x:c>
      <x:c r="N41" s="2" t="str">
        <x:f>IF(H41="Closed Won","Closed",IF(H41="Closed Lost","Closed",IF(C41&lt;'Assumptions'!$F$2,"Slipped","Open")))</x:f>
        <x:v>Open</x:v>
      </x:c>
    </x:row>
    <x:row r="42">
      <x:c r="A42" s="2" t="str">
        <x:v>OPP-0041</x:v>
      </x:c>
      <x:c r="B42" s="8" t="d">
        <x:v>2026-05-02T00:00:00.000Z</x:v>
      </x:c>
      <x:c r="C42" s="8" t="d">
        <x:v>2026-03-19T00:00:00.000Z</x:v>
      </x:c>
      <x:c r="D42" s="2" t="str">
        <x:v>Account O2</x:v>
      </x:c>
      <x:c r="E42" s="2" t="str">
        <x:v>West</x:v>
      </x:c>
      <x:c r="F42" s="2" t="str">
        <x:v>SMB</x:v>
      </x:c>
      <x:c r="G42" s="2" t="str">
        <x:v>Avery Chen</x:v>
      </x:c>
      <x:c r="H42" s="2" t="str">
        <x:v>Qualification</x:v>
      </x:c>
      <x:c r="I42" s="7" t="n">
        <x:v>0.25</x:v>
      </x:c>
      <x:c r="J42" s="9" t="n">
        <x:v>145000</x:v>
      </x:c>
      <x:c r="K42" s="9" t="str">
        <x:v>Pipeline</x:v>
      </x:c>
      <x:c r="L42" s="9" t="n">
        <x:f>I42*J42</x:f>
        <x:v>36250</x:v>
      </x:c>
      <x:c r="M42" s="2" t="n">
        <x:f>C42-B42</x:f>
        <x:v>-44</x:v>
      </x:c>
      <x:c r="N42" s="2" t="str">
        <x:f>IF(H42="Closed Won","Closed",IF(H42="Closed Lost","Closed",IF(C42&lt;'Assumptions'!$F$2,"Slipped","Open")))</x:f>
        <x:v>Slipped</x:v>
      </x:c>
    </x:row>
    <x:row r="43">
      <x:c r="A43" s="2" t="str">
        <x:v>OPP-0042</x:v>
      </x:c>
      <x:c r="B43" s="8" t="d">
        <x:v>2026-06-05T00:00:00.000Z</x:v>
      </x:c>
      <x:c r="C43" s="8" t="d">
        <x:v>2026-04-21T00:00:00.000Z</x:v>
      </x:c>
      <x:c r="D43" s="2" t="str">
        <x:v>Account P2</x:v>
      </x:c>
      <x:c r="E43" s="2" t="str">
        <x:v>Central</x:v>
      </x:c>
      <x:c r="F43" s="2" t="str">
        <x:v>Mid-Market</x:v>
      </x:c>
      <x:c r="G43" s="2" t="str">
        <x:v>Jordan Lee</x:v>
      </x:c>
      <x:c r="H43" s="2" t="str">
        <x:v>Prospecting</x:v>
      </x:c>
      <x:c r="I43" s="7" t="n">
        <x:v>0.1</x:v>
      </x:c>
      <x:c r="J43" s="9" t="n">
        <x:v>152300</x:v>
      </x:c>
      <x:c r="K43" s="9" t="str">
        <x:v>Pipeline</x:v>
      </x:c>
      <x:c r="L43" s="9" t="n">
        <x:f>I43*J43</x:f>
        <x:v>15230</x:v>
      </x:c>
      <x:c r="M43" s="2" t="n">
        <x:f>C43-B43</x:f>
        <x:v>-45</x:v>
      </x:c>
      <x:c r="N43" s="2" t="str">
        <x:f>IF(H43="Closed Won","Closed",IF(H43="Closed Lost","Closed",IF(C43&lt;'Assumptions'!$F$2,"Slipped","Open")))</x:f>
        <x:v>Slipped</x:v>
      </x:c>
    </x:row>
    <x:row r="44">
      <x:c r="A44" s="2" t="str">
        <x:v>OPP-0043</x:v>
      </x:c>
      <x:c r="B44" s="8" t="d">
        <x:v>2026-01-08T00:00:00.000Z</x:v>
      </x:c>
      <x:c r="C44" s="8" t="d">
        <x:v>2026-05-23T00:00:00.000Z</x:v>
      </x:c>
      <x:c r="D44" s="2" t="str">
        <x:v>Account Q2</x:v>
      </x:c>
      <x:c r="E44" s="2" t="str">
        <x:v>East</x:v>
      </x:c>
      <x:c r="F44" s="2" t="str">
        <x:v>Enterprise</x:v>
      </x:c>
      <x:c r="G44" s="2" t="str">
        <x:v>Morgan Patel</x:v>
      </x:c>
      <x:c r="H44" s="2" t="str">
        <x:v>Prospecting</x:v>
      </x:c>
      <x:c r="I44" s="7" t="n">
        <x:v>0.1</x:v>
      </x:c>
      <x:c r="J44" s="9" t="n">
        <x:v>159600</x:v>
      </x:c>
      <x:c r="K44" s="9" t="str">
        <x:v>Pipeline</x:v>
      </x:c>
      <x:c r="L44" s="9" t="n">
        <x:f>I44*J44</x:f>
        <x:v>15960</x:v>
      </x:c>
      <x:c r="M44" s="2" t="n">
        <x:f>C44-B44</x:f>
        <x:v>135</x:v>
      </x:c>
      <x:c r="N44" s="2" t="str">
        <x:f>IF(H44="Closed Won","Closed",IF(H44="Closed Lost","Closed",IF(C44&lt;'Assumptions'!$F$2,"Slipped","Open")))</x:f>
        <x:v>Slipped</x:v>
      </x:c>
    </x:row>
    <x:row r="45">
      <x:c r="A45" s="2" t="str">
        <x:v>OPP-0044</x:v>
      </x:c>
      <x:c r="B45" s="8" t="d">
        <x:v>2026-02-11T00:00:00.000Z</x:v>
      </x:c>
      <x:c r="C45" s="8" t="d">
        <x:v>2026-06-25T00:00:00.000Z</x:v>
      </x:c>
      <x:c r="D45" s="2" t="str">
        <x:v>Account R2</x:v>
      </x:c>
      <x:c r="E45" s="2" t="str">
        <x:v>West</x:v>
      </x:c>
      <x:c r="F45" s="2" t="str">
        <x:v>SMB</x:v>
      </x:c>
      <x:c r="G45" s="2" t="str">
        <x:v>Riley Smith</x:v>
      </x:c>
      <x:c r="H45" s="2" t="str">
        <x:v>Closed Lost</x:v>
      </x:c>
      <x:c r="I45" s="7" t="n">
        <x:v>0</x:v>
      </x:c>
      <x:c r="J45" s="9" t="n">
        <x:v>166900</x:v>
      </x:c>
      <x:c r="K45" s="9" t="str">
        <x:v>Closed</x:v>
      </x:c>
      <x:c r="L45" s="9" t="n">
        <x:f>I45*J45</x:f>
        <x:v>0</x:v>
      </x:c>
      <x:c r="M45" s="2" t="n">
        <x:f>C45-B45</x:f>
        <x:v>134</x:v>
      </x:c>
      <x:c r="N45" s="2" t="str">
        <x:f>IF(H45="Closed Won","Closed",IF(H45="Closed Lost","Closed",IF(C45&lt;'Assumptions'!$F$2,"Slipped","Open")))</x:f>
        <x:v>Closed</x:v>
      </x:c>
    </x:row>
    <x:row r="46">
      <x:c r="A46" s="2" t="str">
        <x:v>OPP-0045</x:v>
      </x:c>
      <x:c r="B46" s="8" t="d">
        <x:v>2026-03-14T00:00:00.000Z</x:v>
      </x:c>
      <x:c r="C46" s="8" t="d">
        <x:v>2026-07-05T00:00:00.000Z</x:v>
      </x:c>
      <x:c r="D46" s="2" t="str">
        <x:v>Account S2</x:v>
      </x:c>
      <x:c r="E46" s="2" t="str">
        <x:v>Central</x:v>
      </x:c>
      <x:c r="F46" s="2" t="str">
        <x:v>Mid-Market</x:v>
      </x:c>
      <x:c r="G46" s="2" t="str">
        <x:v>Avery Chen</x:v>
      </x:c>
      <x:c r="H46" s="2" t="str">
        <x:v>Closed Won</x:v>
      </x:c>
      <x:c r="I46" s="7" t="n">
        <x:v>1</x:v>
      </x:c>
      <x:c r="J46" s="9" t="n">
        <x:v>174200</x:v>
      </x:c>
      <x:c r="K46" s="9" t="str">
        <x:v>Closed</x:v>
      </x:c>
      <x:c r="L46" s="9" t="n">
        <x:f>I46*J46</x:f>
        <x:v>174200</x:v>
      </x:c>
      <x:c r="M46" s="2" t="n">
        <x:f>C46-B46</x:f>
        <x:v>113</x:v>
      </x:c>
      <x:c r="N46" s="2" t="str">
        <x:f>IF(H46="Closed Won","Closed",IF(H46="Closed Lost","Closed",IF(C46&lt;'Assumptions'!$F$2,"Slipped","Open")))</x:f>
        <x:v>Closed</x:v>
      </x:c>
    </x:row>
    <x:row r="47">
      <x:c r="A47" s="2" t="str">
        <x:v>OPP-0046</x:v>
      </x:c>
      <x:c r="B47" s="8" t="d">
        <x:v>2026-04-17T00:00:00.000Z</x:v>
      </x:c>
      <x:c r="C47" s="8" t="d">
        <x:v>2026-08-07T00:00:00.000Z</x:v>
      </x:c>
      <x:c r="D47" s="2" t="str">
        <x:v>Account T2</x:v>
      </x:c>
      <x:c r="E47" s="2" t="str">
        <x:v>East</x:v>
      </x:c>
      <x:c r="F47" s="2" t="str">
        <x:v>Enterprise</x:v>
      </x:c>
      <x:c r="G47" s="2" t="str">
        <x:v>Jordan Lee</x:v>
      </x:c>
      <x:c r="H47" s="2" t="str">
        <x:v>Negotiation</x:v>
      </x:c>
      <x:c r="I47" s="7" t="n">
        <x:v>0.75</x:v>
      </x:c>
      <x:c r="J47" s="9" t="n">
        <x:v>181500</x:v>
      </x:c>
      <x:c r="K47" s="9" t="str">
        <x:v>Commit</x:v>
      </x:c>
      <x:c r="L47" s="9" t="n">
        <x:f>I47*J47</x:f>
        <x:v>136125</x:v>
      </x:c>
      <x:c r="M47" s="2" t="n">
        <x:f>C47-B47</x:f>
        <x:v>112</x:v>
      </x:c>
      <x:c r="N47" s="2" t="str">
        <x:f>IF(H47="Closed Won","Closed",IF(H47="Closed Lost","Closed",IF(C47&lt;'Assumptions'!$F$2,"Slipped","Open")))</x:f>
        <x:v>Open</x:v>
      </x:c>
    </x:row>
    <x:row r="48">
      <x:c r="A48" s="2" t="str">
        <x:v>OPP-0047</x:v>
      </x:c>
      <x:c r="B48" s="8" t="d">
        <x:v>2026-05-20T00:00:00.000Z</x:v>
      </x:c>
      <x:c r="C48" s="8" t="d">
        <x:v>2026-09-09T00:00:00.000Z</x:v>
      </x:c>
      <x:c r="D48" s="2" t="str">
        <x:v>Account U2</x:v>
      </x:c>
      <x:c r="E48" s="2" t="str">
        <x:v>West</x:v>
      </x:c>
      <x:c r="F48" s="2" t="str">
        <x:v>SMB</x:v>
      </x:c>
      <x:c r="G48" s="2" t="str">
        <x:v>Morgan Patel</x:v>
      </x:c>
      <x:c r="H48" s="2" t="str">
        <x:v>Proposal</x:v>
      </x:c>
      <x:c r="I48" s="7" t="n">
        <x:v>0.5</x:v>
      </x:c>
      <x:c r="J48" s="9" t="n">
        <x:v>23800</x:v>
      </x:c>
      <x:c r="K48" s="9" t="str">
        <x:v>Best Case</x:v>
      </x:c>
      <x:c r="L48" s="9" t="n">
        <x:f>I48*J48</x:f>
        <x:v>11900</x:v>
      </x:c>
      <x:c r="M48" s="2" t="n">
        <x:f>C48-B48</x:f>
        <x:v>112</x:v>
      </x:c>
      <x:c r="N48" s="2" t="str">
        <x:f>IF(H48="Closed Won","Closed",IF(H48="Closed Lost","Closed",IF(C48&lt;'Assumptions'!$F$2,"Slipped","Open")))</x:f>
        <x:v>Open</x:v>
      </x:c>
    </x:row>
    <x:row r="49">
      <x:c r="A49" s="2" t="str">
        <x:v>OPP-0048</x:v>
      </x:c>
      <x:c r="B49" s="8" t="d">
        <x:v>2026-06-23T00:00:00.000Z</x:v>
      </x:c>
      <x:c r="C49" s="8" t="d">
        <x:v>2026-10-11T00:00:00.000Z</x:v>
      </x:c>
      <x:c r="D49" s="2" t="str">
        <x:v>Account V2</x:v>
      </x:c>
      <x:c r="E49" s="2" t="str">
        <x:v>Central</x:v>
      </x:c>
      <x:c r="F49" s="2" t="str">
        <x:v>Mid-Market</x:v>
      </x:c>
      <x:c r="G49" s="2" t="str">
        <x:v>Riley Smith</x:v>
      </x:c>
      <x:c r="H49" s="2" t="str">
        <x:v>Qualification</x:v>
      </x:c>
      <x:c r="I49" s="7" t="n">
        <x:v>0.25</x:v>
      </x:c>
      <x:c r="J49" s="9" t="n">
        <x:v>31100</x:v>
      </x:c>
      <x:c r="K49" s="9" t="str">
        <x:v>Pipeline</x:v>
      </x:c>
      <x:c r="L49" s="9" t="n">
        <x:f>I49*J49</x:f>
        <x:v>7775</x:v>
      </x:c>
      <x:c r="M49" s="2" t="n">
        <x:f>C49-B49</x:f>
        <x:v>110</x:v>
      </x:c>
      <x:c r="N49" s="2" t="str">
        <x:f>IF(H49="Closed Won","Closed",IF(H49="Closed Lost","Closed",IF(C49&lt;'Assumptions'!$F$2,"Slipped","Open")))</x:f>
        <x:v>Open</x:v>
      </x:c>
    </x:row>
  </x:sheetData>
  <x:conditionalFormatting sqref="N2:N49">
    <x:cfRule type="containsText" dxfId="0" priority="1" operator="containsText" text="Slipped"/>
  </x:conditionalFormatting>
  <x:dataValidations count="4">
    <x:dataValidation type="list" sqref="E2:E49">
      <x:formula1>"East,West,Central"</x:formula1>
    </x:dataValidation>
    <x:dataValidation type="list" sqref="F2:F49">
      <x:formula1>"Enterprise,Mid-Market,SMB"</x:formula1>
    </x:dataValidation>
    <x:dataValidation type="list" sqref="H2:H49">
      <x:formula1>"Prospecting,Qualification,Proposal,Negotiation,Closed Won,Closed Lost"</x:formula1>
    </x:dataValidation>
    <x:dataValidation type="decimal" operator="between" sqref="I2:I49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d07bb40cd064af8"/>
  </x:tableParts>
</x:worksheet>
</file>

<file path=xl/worksheets/sheet3.xml><?xml version="1.0" encoding="utf-8"?>
<x:worksheet xmlns:x="http://schemas.openxmlformats.org/spreadsheetml/2006/main">
  <x:sheetPr>
    <x:tabColor rgb="FF8EA9DB"/>
  </x:sheetPr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5" max="5" width="18" hidden="0" customWidth="1"/>
    <x:col min="6" max="6" width="18" hidden="0" customWidth="1"/>
  </x:cols>
  <x:sheetData>
    <x:row r="1">
      <x:c r="A1" s="6" t="str">
        <x:v>Stage</x:v>
      </x:c>
      <x:c r="B1" s="6" t="str">
        <x:v>Default Probability</x:v>
      </x:c>
      <x:c r="C1" s="6" t="str">
        <x:v>Forecast Category</x:v>
      </x:c>
      <x:c r="D1" s="2"/>
      <x:c r="E1" s="6" t="str">
        <x:v>Setting</x:v>
      </x:c>
      <x:c r="F1" s="6" t="str">
        <x:v>Value</x:v>
      </x:c>
    </x:row>
    <x:row r="2">
      <x:c r="A2" s="2" t="str">
        <x:v>Prospecting</x:v>
      </x:c>
      <x:c r="B2" s="7" t="n">
        <x:v>0.1</x:v>
      </x:c>
      <x:c r="C2" s="2" t="str">
        <x:v>Pipeline</x:v>
      </x:c>
      <x:c r="D2" s="2"/>
      <x:c r="E2" s="2" t="str">
        <x:v>As-of Date</x:v>
      </x:c>
      <x:c r="F2" s="8" t="d">
        <x:v>2026-06-30T00:00:00.000Z</x:v>
      </x:c>
    </x:row>
    <x:row r="3">
      <x:c r="A3" s="2" t="str">
        <x:v>Qualification</x:v>
      </x:c>
      <x:c r="B3" s="7" t="n">
        <x:v>0.25</x:v>
      </x:c>
      <x:c r="C3" s="2" t="str">
        <x:v>Pipeline</x:v>
      </x:c>
      <x:c r="D3" s="2"/>
      <x:c r="E3" s="2" t="str">
        <x:v>Currency</x:v>
      </x:c>
      <x:c r="F3" s="2" t="str">
        <x:v>USD</x:v>
      </x:c>
    </x:row>
    <x:row r="4">
      <x:c r="A4" s="2" t="str">
        <x:v>Proposal</x:v>
      </x:c>
      <x:c r="B4" s="7" t="n">
        <x:v>0.5</x:v>
      </x:c>
      <x:c r="C4" s="2" t="str">
        <x:v>Best Case</x:v>
      </x:c>
      <x:c r="D4" s="2"/>
      <x:c r="E4" s="2"/>
      <x:c r="F4" s="2"/>
    </x:row>
    <x:row r="5">
      <x:c r="A5" s="2" t="str">
        <x:v>Negotiation</x:v>
      </x:c>
      <x:c r="B5" s="7" t="n">
        <x:v>0.75</x:v>
      </x:c>
      <x:c r="C5" s="2" t="str">
        <x:v>Commit</x:v>
      </x:c>
      <x:c r="D5" s="2"/>
      <x:c r="E5" s="2"/>
      <x:c r="F5" s="2"/>
    </x:row>
    <x:row r="6">
      <x:c r="A6" s="2" t="str">
        <x:v>Closed Won</x:v>
      </x:c>
      <x:c r="B6" s="7" t="n">
        <x:v>1</x:v>
      </x:c>
      <x:c r="C6" s="2" t="str">
        <x:v>Closed</x:v>
      </x:c>
      <x:c r="D6" s="2"/>
      <x:c r="E6" s="2"/>
      <x:c r="F6" s="2"/>
    </x:row>
    <x:row r="7">
      <x:c r="A7" s="2" t="str">
        <x:v>Closed Lost</x:v>
      </x:c>
      <x:c r="B7" s="7" t="n">
        <x:v>0</x:v>
      </x:c>
      <x:c r="C7" s="2" t="str">
        <x:v>Closed</x:v>
      </x:c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</x:sheetData>
  <x:pageMargins left="0.7" right="0.7" top="0.75" bottom="0.75" header="0.3" footer="0.3"/>
  <x:tableParts count="1">
    <x:tablePart xmlns:r="http://schemas.openxmlformats.org/officeDocument/2006/relationships" r:id="R22b394ca092b48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6" t="str">
        <x:v>Rep</x:v>
      </x:c>
      <x:c r="B1" s="6" t="str">
        <x:v>Annual Target</x:v>
      </x:c>
      <x:c r="C1" s="6" t="str">
        <x:v>Weighted Pipeline</x:v>
      </x:c>
      <x:c r="D1" s="6" t="str">
        <x:v>Coverage</x:v>
      </x:c>
    </x:row>
    <x:row r="2">
      <x:c r="A2" s="2" t="str">
        <x:v>Avery Chen</x:v>
      </x:c>
      <x:c r="B2" s="9" t="n">
        <x:v>1250000</x:v>
      </x:c>
      <x:c r="C2" s="9" t="n">
        <x:f>SUM('Pipeline'!$L$2,'Pipeline'!$L$6,'Pipeline'!$L$10,'Pipeline'!$L$14,'Pipeline'!$L$18,'Pipeline'!$L$22,'Pipeline'!$L$26,'Pipeline'!$L$30,'Pipeline'!$L$34,'Pipeline'!$L$38,'Pipeline'!$L$42,'Pipeline'!$L$46)</x:f>
        <x:v>483640</x:v>
      </x:c>
      <x:c r="D2" s="10" t="n">
        <x:f>C2/B2</x:f>
        <x:v>0.386912</x:v>
      </x:c>
    </x:row>
    <x:row r="3">
      <x:c r="A3" s="2" t="str">
        <x:v>Jordan Lee</x:v>
      </x:c>
      <x:c r="B3" s="9" t="n">
        <x:v>1400000</x:v>
      </x:c>
      <x:c r="C3" s="9" t="n">
        <x:f>SUM('Pipeline'!$L$3,'Pipeline'!$L$7,'Pipeline'!$L$11,'Pipeline'!$L$15,'Pipeline'!$L$19,'Pipeline'!$L$23,'Pipeline'!$L$27,'Pipeline'!$L$31,'Pipeline'!$L$35,'Pipeline'!$L$39,'Pipeline'!$L$43,'Pipeline'!$L$47)</x:f>
        <x:v>548000</x:v>
      </x:c>
      <x:c r="D3" s="10" t="n">
        <x:f>C3/B3</x:f>
        <x:v>0.3914285714285714</x:v>
      </x:c>
    </x:row>
    <x:row r="4">
      <x:c r="A4" s="2" t="str">
        <x:v>Morgan Patel</x:v>
      </x:c>
      <x:c r="B4" s="9" t="n">
        <x:v>1550000</x:v>
      </x:c>
      <x:c r="C4" s="9" t="n">
        <x:f>SUM('Pipeline'!$L$4,'Pipeline'!$L$8,'Pipeline'!$L$12,'Pipeline'!$L$16,'Pipeline'!$L$20,'Pipeline'!$L$24,'Pipeline'!$L$28,'Pipeline'!$L$32,'Pipeline'!$L$36,'Pipeline'!$L$40,'Pipeline'!$L$44,'Pipeline'!$L$48)</x:f>
        <x:v>412230</x:v>
      </x:c>
      <x:c r="D4" s="10" t="n">
        <x:f>C4/B4</x:f>
        <x:v>0.2659548387096774</x:v>
      </x:c>
    </x:row>
    <x:row r="5">
      <x:c r="A5" s="2" t="str">
        <x:v>Riley Smith</x:v>
      </x:c>
      <x:c r="B5" s="9" t="n">
        <x:v>1700000</x:v>
      </x:c>
      <x:c r="C5" s="9" t="n">
        <x:f>SUM('Pipeline'!$L$5,'Pipeline'!$L$9,'Pipeline'!$L$13,'Pipeline'!$L$17,'Pipeline'!$L$21,'Pipeline'!$L$25,'Pipeline'!$L$29,'Pipeline'!$L$33,'Pipeline'!$L$37,'Pipeline'!$L$41,'Pipeline'!$L$45,'Pipeline'!$L$49)</x:f>
        <x:v>298020</x:v>
      </x:c>
      <x:c r="D5" s="10" t="n">
        <x:f>C5/B5</x:f>
        <x:v>0.17530588235294117</x:v>
      </x:c>
    </x:row>
  </x:sheetData>
  <x:conditionalFormatting sqref="D2:D5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7200759d8b4443"/>
  </x:tableParts>
</x:worksheet>
</file>