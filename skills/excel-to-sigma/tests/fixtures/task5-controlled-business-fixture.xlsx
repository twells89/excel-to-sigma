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count" sheetId="1" state="visible" r:id="rId1"/>
    <sheet name="Assumptions" sheetId="2" state="visible" r:id="rId2"/>
    <sheet name="Alloc" sheetId="3" state="visible" r:id="rId3"/>
    <sheet name="Actuals" sheetId="4" state="visible" r:id="rId4"/>
    <sheet name="Forecast Inputs" sheetId="5" state="visible" r:id="rId5"/>
    <sheet name="Line Definitions" sheetId="6" state="visible" r:id="rId6"/>
    <sheet name="Forecast" sheetId="7" state="visible" r:id="rId7"/>
    <sheet name="P&amp;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ControlledHeadcount" displayName="ControlledHeadcount" ref="A1:B5" headerRowCount="1">
  <autoFilter ref="A1:B5"/>
  <tableColumns count="2">
    <tableColumn id="1" name="Department"/>
    <tableColumn id="2" name="Headcount"/>
  </tableColumns>
  <tableStyleInfo name="TableStyleMedium2" showRowStripes="1"/>
</table>
</file>

<file path=xl/tables/table2.xml><?xml version="1.0" encoding="utf-8"?>
<table xmlns="http://schemas.openxmlformats.org/spreadsheetml/2006/main" id="2" name="ControlledAllocation" displayName="ControlledAllocation" ref="A1:B5" headerRowCount="1">
  <autoFilter ref="A1:B5"/>
  <tableColumns count="2">
    <tableColumn id="1" name="Department"/>
    <tableColumn id="2" name="Allocation"/>
  </tableColumns>
  <tableStyleInfo name="TableStyleMedium2" showRowStripes="1"/>
</table>
</file>

<file path=xl/tables/table3.xml><?xml version="1.0" encoding="utf-8"?>
<table xmlns="http://schemas.openxmlformats.org/spreadsheetml/2006/main" id="3" name="ControlledActuals" displayName="ControlledActuals" ref="A1:D163" headerRowCount="1">
  <autoFilter ref="A1:D163"/>
  <tableColumns count="4">
    <tableColumn id="1" name="Line Item"/>
    <tableColumn id="2" name="Month"/>
    <tableColumn id="3" name="Section"/>
    <tableColumn id="4" name="Amount"/>
  </tableColumns>
  <tableStyleInfo name="TableStyleMedium2" showRowStripes="1"/>
</table>
</file>

<file path=xl/tables/table4.xml><?xml version="1.0" encoding="utf-8"?>
<table xmlns="http://schemas.openxmlformats.org/spreadsheetml/2006/main" id="4" name="ControlledForecastInputs" displayName="ControlledForecastInputs" ref="A5:I17" headerRowCount="1">
  <autoFilter ref="A5:I17"/>
  <tableColumns count="9">
    <tableColumn id="1" name="Line Item"/>
    <tableColumn id="2" name="Method"/>
    <tableColumn id="3" name="Monthly Growth"/>
    <tableColumn id="4" name="Jul-26"/>
    <tableColumn id="5" name="Aug-26"/>
    <tableColumn id="6" name="Sep-26"/>
    <tableColumn id="7" name="Oct-26"/>
    <tableColumn id="8" name="Nov-26"/>
    <tableColumn id="9" name="Dec-26"/>
  </tableColumns>
  <tableStyleInfo name="TableStyleMedium2" showRowStripes="1"/>
</table>
</file>

<file path=xl/tables/table5.xml><?xml version="1.0" encoding="utf-8"?>
<table xmlns="http://schemas.openxmlformats.org/spreadsheetml/2006/main" id="5" name="ControlledDefinitions" displayName="ControlledDefinitions" ref="A1:B13" headerRowCount="1">
  <autoFilter ref="A1:B13"/>
  <tableColumns count="2">
    <tableColumn id="1" name="Line Item"/>
    <tableColumn id="2" name="Se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Department</t>
        </is>
      </c>
      <c r="B1" t="inlineStr">
        <is>
          <t>Headcount</t>
        </is>
      </c>
    </row>
    <row r="2">
      <c r="A2" t="inlineStr">
        <is>
          <t>Eng</t>
        </is>
      </c>
      <c r="B2" t="n">
        <v>40</v>
      </c>
    </row>
    <row r="3">
      <c r="A3" t="inlineStr">
        <is>
          <t>Sales</t>
        </is>
      </c>
      <c r="B3" t="n">
        <v>30</v>
      </c>
    </row>
    <row r="4">
      <c r="A4" t="inlineStr">
        <is>
          <t>G&amp;A</t>
        </is>
      </c>
      <c r="B4" t="n">
        <v>20</v>
      </c>
    </row>
    <row r="5">
      <c r="A5" t="inlineStr">
        <is>
          <t>Support</t>
        </is>
      </c>
      <c r="B5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/>
    <row r="2"/>
    <row r="3"/>
    <row r="4"/>
    <row r="5">
      <c r="A5" t="inlineStr">
        <is>
          <t>Subscription monthly growth</t>
        </is>
      </c>
      <c r="B5" t="n">
        <v>0.032</v>
      </c>
    </row>
    <row r="6"/>
    <row r="7"/>
    <row r="8"/>
    <row r="9"/>
    <row r="10"/>
    <row r="11"/>
    <row r="12">
      <c r="A12" t="inlineStr">
        <is>
          <t>Overhead</t>
        </is>
      </c>
      <c r="B12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Department</t>
        </is>
      </c>
      <c r="B1" t="inlineStr">
        <is>
          <t>Allocation</t>
        </is>
      </c>
    </row>
    <row r="2">
      <c r="A2" t="inlineStr">
        <is>
          <t>Eng</t>
        </is>
      </c>
      <c r="B2" t="n">
        <v>-999</v>
      </c>
    </row>
    <row r="3">
      <c r="A3" t="inlineStr">
        <is>
          <t>Sales</t>
        </is>
      </c>
      <c r="B3" t="n">
        <v>-999</v>
      </c>
    </row>
    <row r="4">
      <c r="A4" t="inlineStr">
        <is>
          <t>G&amp;A</t>
        </is>
      </c>
      <c r="B4" t="n">
        <v>-999</v>
      </c>
    </row>
    <row r="5">
      <c r="A5" t="inlineStr">
        <is>
          <t>Support</t>
        </is>
      </c>
      <c r="B5" t="n">
        <v>-999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Line Item</t>
        </is>
      </c>
      <c r="B1" t="inlineStr">
        <is>
          <t>Month</t>
        </is>
      </c>
      <c r="C1" t="inlineStr">
        <is>
          <t>Section</t>
        </is>
      </c>
      <c r="D1" t="inlineStr">
        <is>
          <t>Amount</t>
        </is>
      </c>
    </row>
    <row r="2">
      <c r="A2" t="inlineStr">
        <is>
          <t>Subscription Revenue</t>
        </is>
      </c>
      <c r="B2" t="inlineStr">
        <is>
          <t>Jan-26</t>
        </is>
      </c>
      <c r="C2" t="inlineStr">
        <is>
          <t>Revenue</t>
        </is>
      </c>
      <c r="D2" t="n">
        <v>225720</v>
      </c>
    </row>
    <row r="3">
      <c r="A3" t="inlineStr">
        <is>
          <t>Subscription Revenue</t>
        </is>
      </c>
      <c r="B3" t="inlineStr">
        <is>
          <t>Jan-26</t>
        </is>
      </c>
      <c r="C3" t="inlineStr">
        <is>
          <t>Revenue</t>
        </is>
      </c>
      <c r="D3" t="n">
        <v>117040</v>
      </c>
    </row>
    <row r="4">
      <c r="A4" t="inlineStr">
        <is>
          <t>Subscription Revenue</t>
        </is>
      </c>
      <c r="B4" t="inlineStr">
        <is>
          <t>Jan-26</t>
        </is>
      </c>
      <c r="C4" t="inlineStr">
        <is>
          <t>Revenue</t>
        </is>
      </c>
      <c r="D4" t="n">
        <v>75240</v>
      </c>
    </row>
    <row r="5">
      <c r="A5" t="inlineStr">
        <is>
          <t>Subscription Revenue</t>
        </is>
      </c>
      <c r="B5" t="inlineStr">
        <is>
          <t>Feb-26</t>
        </is>
      </c>
      <c r="C5" t="inlineStr">
        <is>
          <t>Revenue</t>
        </is>
      </c>
      <c r="D5" t="n">
        <v>233874</v>
      </c>
    </row>
    <row r="6">
      <c r="A6" t="inlineStr">
        <is>
          <t>Subscription Revenue</t>
        </is>
      </c>
      <c r="B6" t="inlineStr">
        <is>
          <t>Feb-26</t>
        </is>
      </c>
      <c r="C6" t="inlineStr">
        <is>
          <t>Revenue</t>
        </is>
      </c>
      <c r="D6" t="n">
        <v>121268</v>
      </c>
    </row>
    <row r="7">
      <c r="A7" t="inlineStr">
        <is>
          <t>Subscription Revenue</t>
        </is>
      </c>
      <c r="B7" t="inlineStr">
        <is>
          <t>Feb-26</t>
        </is>
      </c>
      <c r="C7" t="inlineStr">
        <is>
          <t>Revenue</t>
        </is>
      </c>
      <c r="D7" t="n">
        <v>77958</v>
      </c>
    </row>
    <row r="8">
      <c r="A8" t="inlineStr">
        <is>
          <t>Subscription Revenue</t>
        </is>
      </c>
      <c r="B8" t="inlineStr">
        <is>
          <t>Mar-26</t>
        </is>
      </c>
      <c r="C8" t="inlineStr">
        <is>
          <t>Revenue</t>
        </is>
      </c>
      <c r="D8" t="n">
        <v>248076</v>
      </c>
    </row>
    <row r="9">
      <c r="A9" t="inlineStr">
        <is>
          <t>Subscription Revenue</t>
        </is>
      </c>
      <c r="B9" t="inlineStr">
        <is>
          <t>Mar-26</t>
        </is>
      </c>
      <c r="C9" t="inlineStr">
        <is>
          <t>Revenue</t>
        </is>
      </c>
      <c r="D9" t="n">
        <v>128632</v>
      </c>
    </row>
    <row r="10">
      <c r="A10" t="inlineStr">
        <is>
          <t>Subscription Revenue</t>
        </is>
      </c>
      <c r="B10" t="inlineStr">
        <is>
          <t>Mar-26</t>
        </is>
      </c>
      <c r="C10" t="inlineStr">
        <is>
          <t>Revenue</t>
        </is>
      </c>
      <c r="D10" t="n">
        <v>82692</v>
      </c>
    </row>
    <row r="11">
      <c r="A11" t="inlineStr">
        <is>
          <t>Subscription Revenue</t>
        </is>
      </c>
      <c r="B11" t="inlineStr">
        <is>
          <t>Apr-26</t>
        </is>
      </c>
      <c r="C11" t="inlineStr">
        <is>
          <t>Revenue</t>
        </is>
      </c>
      <c r="D11" t="n">
        <v>253638</v>
      </c>
    </row>
    <row r="12">
      <c r="A12" t="inlineStr">
        <is>
          <t>Subscription Revenue</t>
        </is>
      </c>
      <c r="B12" t="inlineStr">
        <is>
          <t>Apr-26</t>
        </is>
      </c>
      <c r="C12" t="inlineStr">
        <is>
          <t>Revenue</t>
        </is>
      </c>
      <c r="D12" t="n">
        <v>131516</v>
      </c>
    </row>
    <row r="13">
      <c r="A13" t="inlineStr">
        <is>
          <t>Subscription Revenue</t>
        </is>
      </c>
      <c r="B13" t="inlineStr">
        <is>
          <t>Apr-26</t>
        </is>
      </c>
      <c r="C13" t="inlineStr">
        <is>
          <t>Revenue</t>
        </is>
      </c>
      <c r="D13" t="n">
        <v>84546</v>
      </c>
    </row>
    <row r="14">
      <c r="A14" t="inlineStr">
        <is>
          <t>Subscription Revenue</t>
        </is>
      </c>
      <c r="B14" t="inlineStr">
        <is>
          <t>May-26</t>
        </is>
      </c>
      <c r="C14" t="inlineStr">
        <is>
          <t>Revenue</t>
        </is>
      </c>
      <c r="D14" t="n">
        <v>268974</v>
      </c>
    </row>
    <row r="15">
      <c r="A15" t="inlineStr">
        <is>
          <t>Subscription Revenue</t>
        </is>
      </c>
      <c r="B15" t="inlineStr">
        <is>
          <t>May-26</t>
        </is>
      </c>
      <c r="C15" t="inlineStr">
        <is>
          <t>Revenue</t>
        </is>
      </c>
      <c r="D15" t="n">
        <v>139468</v>
      </c>
    </row>
    <row r="16">
      <c r="A16" t="inlineStr">
        <is>
          <t>Subscription Revenue</t>
        </is>
      </c>
      <c r="B16" t="inlineStr">
        <is>
          <t>May-26</t>
        </is>
      </c>
      <c r="C16" t="inlineStr">
        <is>
          <t>Revenue</t>
        </is>
      </c>
      <c r="D16" t="n">
        <v>89658</v>
      </c>
    </row>
    <row r="17">
      <c r="A17" t="inlineStr">
        <is>
          <t>Subscription Revenue</t>
        </is>
      </c>
      <c r="B17" t="inlineStr">
        <is>
          <t>Jun-26</t>
        </is>
      </c>
      <c r="C17" t="inlineStr">
        <is>
          <t>Revenue</t>
        </is>
      </c>
      <c r="D17" t="n">
        <v>281394</v>
      </c>
    </row>
    <row r="18">
      <c r="A18" t="inlineStr">
        <is>
          <t>Subscription Revenue</t>
        </is>
      </c>
      <c r="B18" t="inlineStr">
        <is>
          <t>Jun-26</t>
        </is>
      </c>
      <c r="C18" t="inlineStr">
        <is>
          <t>Revenue</t>
        </is>
      </c>
      <c r="D18" t="n">
        <v>145908</v>
      </c>
    </row>
    <row r="19">
      <c r="A19" t="inlineStr">
        <is>
          <t>Subscription Revenue</t>
        </is>
      </c>
      <c r="B19" t="inlineStr">
        <is>
          <t>Jun-26</t>
        </is>
      </c>
      <c r="C19" t="inlineStr">
        <is>
          <t>Revenue</t>
        </is>
      </c>
      <c r="D19" t="n">
        <v>93798</v>
      </c>
    </row>
    <row r="20">
      <c r="A20" t="inlineStr">
        <is>
          <t>Usage Revenue</t>
        </is>
      </c>
      <c r="B20" t="inlineStr">
        <is>
          <t>Jan-26</t>
        </is>
      </c>
      <c r="C20" t="inlineStr">
        <is>
          <t>Revenue</t>
        </is>
      </c>
      <c r="D20" t="n">
        <v>41040</v>
      </c>
    </row>
    <row r="21">
      <c r="A21" t="inlineStr">
        <is>
          <t>Usage Revenue</t>
        </is>
      </c>
      <c r="B21" t="inlineStr">
        <is>
          <t>Jan-26</t>
        </is>
      </c>
      <c r="C21" t="inlineStr">
        <is>
          <t>Revenue</t>
        </is>
      </c>
      <c r="D21" t="n">
        <v>21280</v>
      </c>
    </row>
    <row r="22">
      <c r="A22" t="inlineStr">
        <is>
          <t>Usage Revenue</t>
        </is>
      </c>
      <c r="B22" t="inlineStr">
        <is>
          <t>Jan-26</t>
        </is>
      </c>
      <c r="C22" t="inlineStr">
        <is>
          <t>Revenue</t>
        </is>
      </c>
      <c r="D22" t="n">
        <v>13680</v>
      </c>
    </row>
    <row r="23">
      <c r="A23" t="inlineStr">
        <is>
          <t>Usage Revenue</t>
        </is>
      </c>
      <c r="B23" t="inlineStr">
        <is>
          <t>Feb-26</t>
        </is>
      </c>
      <c r="C23" t="inlineStr">
        <is>
          <t>Revenue</t>
        </is>
      </c>
      <c r="D23" t="n">
        <v>43686</v>
      </c>
    </row>
    <row r="24">
      <c r="A24" t="inlineStr">
        <is>
          <t>Usage Revenue</t>
        </is>
      </c>
      <c r="B24" t="inlineStr">
        <is>
          <t>Feb-26</t>
        </is>
      </c>
      <c r="C24" t="inlineStr">
        <is>
          <t>Revenue</t>
        </is>
      </c>
      <c r="D24" t="n">
        <v>22652</v>
      </c>
    </row>
    <row r="25">
      <c r="A25" t="inlineStr">
        <is>
          <t>Usage Revenue</t>
        </is>
      </c>
      <c r="B25" t="inlineStr">
        <is>
          <t>Feb-26</t>
        </is>
      </c>
      <c r="C25" t="inlineStr">
        <is>
          <t>Revenue</t>
        </is>
      </c>
      <c r="D25" t="n">
        <v>14562</v>
      </c>
    </row>
    <row r="26">
      <c r="A26" t="inlineStr">
        <is>
          <t>Usage Revenue</t>
        </is>
      </c>
      <c r="B26" t="inlineStr">
        <is>
          <t>Mar-26</t>
        </is>
      </c>
      <c r="C26" t="inlineStr">
        <is>
          <t>Revenue</t>
        </is>
      </c>
      <c r="D26" t="n">
        <v>52380</v>
      </c>
    </row>
    <row r="27">
      <c r="A27" t="inlineStr">
        <is>
          <t>Usage Revenue</t>
        </is>
      </c>
      <c r="B27" t="inlineStr">
        <is>
          <t>Mar-26</t>
        </is>
      </c>
      <c r="C27" t="inlineStr">
        <is>
          <t>Revenue</t>
        </is>
      </c>
      <c r="D27" t="n">
        <v>27160</v>
      </c>
    </row>
    <row r="28">
      <c r="A28" t="inlineStr">
        <is>
          <t>Usage Revenue</t>
        </is>
      </c>
      <c r="B28" t="inlineStr">
        <is>
          <t>Mar-26</t>
        </is>
      </c>
      <c r="C28" t="inlineStr">
        <is>
          <t>Revenue</t>
        </is>
      </c>
      <c r="D28" t="n">
        <v>17460</v>
      </c>
    </row>
    <row r="29">
      <c r="A29" t="inlineStr">
        <is>
          <t>Usage Revenue</t>
        </is>
      </c>
      <c r="B29" t="inlineStr">
        <is>
          <t>Apr-26</t>
        </is>
      </c>
      <c r="C29" t="inlineStr">
        <is>
          <t>Revenue</t>
        </is>
      </c>
      <c r="D29" t="n">
        <v>52434</v>
      </c>
    </row>
    <row r="30">
      <c r="A30" t="inlineStr">
        <is>
          <t>Usage Revenue</t>
        </is>
      </c>
      <c r="B30" t="inlineStr">
        <is>
          <t>Apr-26</t>
        </is>
      </c>
      <c r="C30" t="inlineStr">
        <is>
          <t>Revenue</t>
        </is>
      </c>
      <c r="D30" t="n">
        <v>27188</v>
      </c>
    </row>
    <row r="31">
      <c r="A31" t="inlineStr">
        <is>
          <t>Usage Revenue</t>
        </is>
      </c>
      <c r="B31" t="inlineStr">
        <is>
          <t>Apr-26</t>
        </is>
      </c>
      <c r="C31" t="inlineStr">
        <is>
          <t>Revenue</t>
        </is>
      </c>
      <c r="D31" t="n">
        <v>17478</v>
      </c>
    </row>
    <row r="32">
      <c r="A32" t="inlineStr">
        <is>
          <t>Usage Revenue</t>
        </is>
      </c>
      <c r="B32" t="inlineStr">
        <is>
          <t>May-26</t>
        </is>
      </c>
      <c r="C32" t="inlineStr">
        <is>
          <t>Revenue</t>
        </is>
      </c>
      <c r="D32" t="n">
        <v>62262</v>
      </c>
    </row>
    <row r="33">
      <c r="A33" t="inlineStr">
        <is>
          <t>Usage Revenue</t>
        </is>
      </c>
      <c r="B33" t="inlineStr">
        <is>
          <t>May-26</t>
        </is>
      </c>
      <c r="C33" t="inlineStr">
        <is>
          <t>Revenue</t>
        </is>
      </c>
      <c r="D33" t="n">
        <v>32284</v>
      </c>
    </row>
    <row r="34">
      <c r="A34" t="inlineStr">
        <is>
          <t>Usage Revenue</t>
        </is>
      </c>
      <c r="B34" t="inlineStr">
        <is>
          <t>May-26</t>
        </is>
      </c>
      <c r="C34" t="inlineStr">
        <is>
          <t>Revenue</t>
        </is>
      </c>
      <c r="D34" t="n">
        <v>20754</v>
      </c>
    </row>
    <row r="35">
      <c r="A35" t="inlineStr">
        <is>
          <t>Usage Revenue</t>
        </is>
      </c>
      <c r="B35" t="inlineStr">
        <is>
          <t>Jun-26</t>
        </is>
      </c>
      <c r="C35" t="inlineStr">
        <is>
          <t>Revenue</t>
        </is>
      </c>
      <c r="D35" t="n">
        <v>69174</v>
      </c>
    </row>
    <row r="36">
      <c r="A36" t="inlineStr">
        <is>
          <t>Usage Revenue</t>
        </is>
      </c>
      <c r="B36" t="inlineStr">
        <is>
          <t>Jun-26</t>
        </is>
      </c>
      <c r="C36" t="inlineStr">
        <is>
          <t>Revenue</t>
        </is>
      </c>
      <c r="D36" t="n">
        <v>35868</v>
      </c>
    </row>
    <row r="37">
      <c r="A37" t="inlineStr">
        <is>
          <t>Usage Revenue</t>
        </is>
      </c>
      <c r="B37" t="inlineStr">
        <is>
          <t>Jun-26</t>
        </is>
      </c>
      <c r="C37" t="inlineStr">
        <is>
          <t>Revenue</t>
        </is>
      </c>
      <c r="D37" t="n">
        <v>23058</v>
      </c>
    </row>
    <row r="38">
      <c r="A38" t="inlineStr">
        <is>
          <t>Professional Services Rev</t>
        </is>
      </c>
      <c r="B38" t="inlineStr">
        <is>
          <t>Jan-26</t>
        </is>
      </c>
      <c r="C38" t="inlineStr">
        <is>
          <t>Revenue</t>
        </is>
      </c>
      <c r="D38" t="n">
        <v>37820</v>
      </c>
    </row>
    <row r="39">
      <c r="A39" t="inlineStr">
        <is>
          <t>Professional Services Rev</t>
        </is>
      </c>
      <c r="B39" t="inlineStr">
        <is>
          <t>Jan-26</t>
        </is>
      </c>
      <c r="C39" t="inlineStr">
        <is>
          <t>Revenue</t>
        </is>
      </c>
      <c r="D39" t="n">
        <v>24180</v>
      </c>
    </row>
    <row r="40">
      <c r="A40" t="inlineStr">
        <is>
          <t>Professional Services Rev</t>
        </is>
      </c>
      <c r="B40" t="inlineStr">
        <is>
          <t>Feb-26</t>
        </is>
      </c>
      <c r="C40" t="inlineStr">
        <is>
          <t>Revenue</t>
        </is>
      </c>
      <c r="D40" t="n">
        <v>43310</v>
      </c>
    </row>
    <row r="41">
      <c r="A41" t="inlineStr">
        <is>
          <t>Professional Services Rev</t>
        </is>
      </c>
      <c r="B41" t="inlineStr">
        <is>
          <t>Feb-26</t>
        </is>
      </c>
      <c r="C41" t="inlineStr">
        <is>
          <t>Revenue</t>
        </is>
      </c>
      <c r="D41" t="n">
        <v>27690</v>
      </c>
    </row>
    <row r="42">
      <c r="A42" t="inlineStr">
        <is>
          <t>Professional Services Rev</t>
        </is>
      </c>
      <c r="B42" t="inlineStr">
        <is>
          <t>Mar-26</t>
        </is>
      </c>
      <c r="C42" t="inlineStr">
        <is>
          <t>Revenue</t>
        </is>
      </c>
      <c r="D42" t="n">
        <v>35990</v>
      </c>
    </row>
    <row r="43">
      <c r="A43" t="inlineStr">
        <is>
          <t>Professional Services Rev</t>
        </is>
      </c>
      <c r="B43" t="inlineStr">
        <is>
          <t>Mar-26</t>
        </is>
      </c>
      <c r="C43" t="inlineStr">
        <is>
          <t>Revenue</t>
        </is>
      </c>
      <c r="D43" t="n">
        <v>23010</v>
      </c>
    </row>
    <row r="44">
      <c r="A44" t="inlineStr">
        <is>
          <t>Professional Services Rev</t>
        </is>
      </c>
      <c r="B44" t="inlineStr">
        <is>
          <t>Apr-26</t>
        </is>
      </c>
      <c r="C44" t="inlineStr">
        <is>
          <t>Revenue</t>
        </is>
      </c>
      <c r="D44" t="n">
        <v>51240</v>
      </c>
    </row>
    <row r="45">
      <c r="A45" t="inlineStr">
        <is>
          <t>Professional Services Rev</t>
        </is>
      </c>
      <c r="B45" t="inlineStr">
        <is>
          <t>Apr-26</t>
        </is>
      </c>
      <c r="C45" t="inlineStr">
        <is>
          <t>Revenue</t>
        </is>
      </c>
      <c r="D45" t="n">
        <v>32760</v>
      </c>
    </row>
    <row r="46">
      <c r="A46" t="inlineStr">
        <is>
          <t>Professional Services Rev</t>
        </is>
      </c>
      <c r="B46" t="inlineStr">
        <is>
          <t>May-26</t>
        </is>
      </c>
      <c r="C46" t="inlineStr">
        <is>
          <t>Revenue</t>
        </is>
      </c>
      <c r="D46" t="n">
        <v>42090</v>
      </c>
    </row>
    <row r="47">
      <c r="A47" t="inlineStr">
        <is>
          <t>Professional Services Rev</t>
        </is>
      </c>
      <c r="B47" t="inlineStr">
        <is>
          <t>May-26</t>
        </is>
      </c>
      <c r="C47" t="inlineStr">
        <is>
          <t>Revenue</t>
        </is>
      </c>
      <c r="D47" t="n">
        <v>26910</v>
      </c>
    </row>
    <row r="48">
      <c r="A48" t="inlineStr">
        <is>
          <t>Professional Services Rev</t>
        </is>
      </c>
      <c r="B48" t="inlineStr">
        <is>
          <t>Jun-26</t>
        </is>
      </c>
      <c r="C48" t="inlineStr">
        <is>
          <t>Revenue</t>
        </is>
      </c>
      <c r="D48" t="n">
        <v>58560</v>
      </c>
    </row>
    <row r="49">
      <c r="A49" t="inlineStr">
        <is>
          <t>Professional Services Rev</t>
        </is>
      </c>
      <c r="B49" t="inlineStr">
        <is>
          <t>Jun-26</t>
        </is>
      </c>
      <c r="C49" t="inlineStr">
        <is>
          <t>Revenue</t>
        </is>
      </c>
      <c r="D49" t="n">
        <v>37440</v>
      </c>
    </row>
    <row r="50">
      <c r="A50" t="inlineStr">
        <is>
          <t>Hosting &amp; Infrastructure</t>
        </is>
      </c>
      <c r="B50" t="inlineStr">
        <is>
          <t>Jan-26</t>
        </is>
      </c>
      <c r="C50" t="inlineStr">
        <is>
          <t>Cost of Revenue</t>
        </is>
      </c>
      <c r="D50" t="n">
        <v>27540</v>
      </c>
    </row>
    <row r="51">
      <c r="A51" t="inlineStr">
        <is>
          <t>Hosting &amp; Infrastructure</t>
        </is>
      </c>
      <c r="B51" t="inlineStr">
        <is>
          <t>Jan-26</t>
        </is>
      </c>
      <c r="C51" t="inlineStr">
        <is>
          <t>Cost of Revenue</t>
        </is>
      </c>
      <c r="D51" t="n">
        <v>14280</v>
      </c>
    </row>
    <row r="52">
      <c r="A52" t="inlineStr">
        <is>
          <t>Hosting &amp; Infrastructure</t>
        </is>
      </c>
      <c r="B52" t="inlineStr">
        <is>
          <t>Jan-26</t>
        </is>
      </c>
      <c r="C52" t="inlineStr">
        <is>
          <t>Cost of Revenue</t>
        </is>
      </c>
      <c r="D52" t="n">
        <v>9180</v>
      </c>
    </row>
    <row r="53">
      <c r="A53" t="inlineStr">
        <is>
          <t>Hosting &amp; Infrastructure</t>
        </is>
      </c>
      <c r="B53" t="inlineStr">
        <is>
          <t>Feb-26</t>
        </is>
      </c>
      <c r="C53" t="inlineStr">
        <is>
          <t>Cost of Revenue</t>
        </is>
      </c>
      <c r="D53" t="n">
        <v>28917</v>
      </c>
    </row>
    <row r="54">
      <c r="A54" t="inlineStr">
        <is>
          <t>Hosting &amp; Infrastructure</t>
        </is>
      </c>
      <c r="B54" t="inlineStr">
        <is>
          <t>Feb-26</t>
        </is>
      </c>
      <c r="C54" t="inlineStr">
        <is>
          <t>Cost of Revenue</t>
        </is>
      </c>
      <c r="D54" t="n">
        <v>14994</v>
      </c>
    </row>
    <row r="55">
      <c r="A55" t="inlineStr">
        <is>
          <t>Hosting &amp; Infrastructure</t>
        </is>
      </c>
      <c r="B55" t="inlineStr">
        <is>
          <t>Feb-26</t>
        </is>
      </c>
      <c r="C55" t="inlineStr">
        <is>
          <t>Cost of Revenue</t>
        </is>
      </c>
      <c r="D55" t="n">
        <v>9639</v>
      </c>
    </row>
    <row r="56">
      <c r="A56" t="inlineStr">
        <is>
          <t>Hosting &amp; Infrastructure</t>
        </is>
      </c>
      <c r="B56" t="inlineStr">
        <is>
          <t>Mar-26</t>
        </is>
      </c>
      <c r="C56" t="inlineStr">
        <is>
          <t>Cost of Revenue</t>
        </is>
      </c>
      <c r="D56" t="n">
        <v>29619</v>
      </c>
    </row>
    <row r="57">
      <c r="A57" t="inlineStr">
        <is>
          <t>Hosting &amp; Infrastructure</t>
        </is>
      </c>
      <c r="B57" t="inlineStr">
        <is>
          <t>Mar-26</t>
        </is>
      </c>
      <c r="C57" t="inlineStr">
        <is>
          <t>Cost of Revenue</t>
        </is>
      </c>
      <c r="D57" t="n">
        <v>15358</v>
      </c>
    </row>
    <row r="58">
      <c r="A58" t="inlineStr">
        <is>
          <t>Hosting &amp; Infrastructure</t>
        </is>
      </c>
      <c r="B58" t="inlineStr">
        <is>
          <t>Mar-26</t>
        </is>
      </c>
      <c r="C58" t="inlineStr">
        <is>
          <t>Cost of Revenue</t>
        </is>
      </c>
      <c r="D58" t="n">
        <v>9873</v>
      </c>
    </row>
    <row r="59">
      <c r="A59" t="inlineStr">
        <is>
          <t>Hosting &amp; Infrastructure</t>
        </is>
      </c>
      <c r="B59" t="inlineStr">
        <is>
          <t>Apr-26</t>
        </is>
      </c>
      <c r="C59" t="inlineStr">
        <is>
          <t>Cost of Revenue</t>
        </is>
      </c>
      <c r="D59" t="n">
        <v>31428</v>
      </c>
    </row>
    <row r="60">
      <c r="A60" t="inlineStr">
        <is>
          <t>Hosting &amp; Infrastructure</t>
        </is>
      </c>
      <c r="B60" t="inlineStr">
        <is>
          <t>Apr-26</t>
        </is>
      </c>
      <c r="C60" t="inlineStr">
        <is>
          <t>Cost of Revenue</t>
        </is>
      </c>
      <c r="D60" t="n">
        <v>16296</v>
      </c>
    </row>
    <row r="61">
      <c r="A61" t="inlineStr">
        <is>
          <t>Hosting &amp; Infrastructure</t>
        </is>
      </c>
      <c r="B61" t="inlineStr">
        <is>
          <t>Apr-26</t>
        </is>
      </c>
      <c r="C61" t="inlineStr">
        <is>
          <t>Cost of Revenue</t>
        </is>
      </c>
      <c r="D61" t="n">
        <v>10476</v>
      </c>
    </row>
    <row r="62">
      <c r="A62" t="inlineStr">
        <is>
          <t>Hosting &amp; Infrastructure</t>
        </is>
      </c>
      <c r="B62" t="inlineStr">
        <is>
          <t>May-26</t>
        </is>
      </c>
      <c r="C62" t="inlineStr">
        <is>
          <t>Cost of Revenue</t>
        </is>
      </c>
      <c r="D62" t="n">
        <v>31968</v>
      </c>
    </row>
    <row r="63">
      <c r="A63" t="inlineStr">
        <is>
          <t>Hosting &amp; Infrastructure</t>
        </is>
      </c>
      <c r="B63" t="inlineStr">
        <is>
          <t>May-26</t>
        </is>
      </c>
      <c r="C63" t="inlineStr">
        <is>
          <t>Cost of Revenue</t>
        </is>
      </c>
      <c r="D63" t="n">
        <v>16576</v>
      </c>
    </row>
    <row r="64">
      <c r="A64" t="inlineStr">
        <is>
          <t>Hosting &amp; Infrastructure</t>
        </is>
      </c>
      <c r="B64" t="inlineStr">
        <is>
          <t>May-26</t>
        </is>
      </c>
      <c r="C64" t="inlineStr">
        <is>
          <t>Cost of Revenue</t>
        </is>
      </c>
      <c r="D64" t="n">
        <v>10656</v>
      </c>
    </row>
    <row r="65">
      <c r="A65" t="inlineStr">
        <is>
          <t>Hosting &amp; Infrastructure</t>
        </is>
      </c>
      <c r="B65" t="inlineStr">
        <is>
          <t>Jun-26</t>
        </is>
      </c>
      <c r="C65" t="inlineStr">
        <is>
          <t>Cost of Revenue</t>
        </is>
      </c>
      <c r="D65" t="n">
        <v>33885</v>
      </c>
    </row>
    <row r="66">
      <c r="A66" t="inlineStr">
        <is>
          <t>Hosting &amp; Infrastructure</t>
        </is>
      </c>
      <c r="B66" t="inlineStr">
        <is>
          <t>Jun-26</t>
        </is>
      </c>
      <c r="C66" t="inlineStr">
        <is>
          <t>Cost of Revenue</t>
        </is>
      </c>
      <c r="D66" t="n">
        <v>17570</v>
      </c>
    </row>
    <row r="67">
      <c r="A67" t="inlineStr">
        <is>
          <t>Hosting &amp; Infrastructure</t>
        </is>
      </c>
      <c r="B67" t="inlineStr">
        <is>
          <t>Jun-26</t>
        </is>
      </c>
      <c r="C67" t="inlineStr">
        <is>
          <t>Cost of Revenue</t>
        </is>
      </c>
      <c r="D67" t="n">
        <v>11295</v>
      </c>
    </row>
    <row r="68">
      <c r="A68" t="inlineStr">
        <is>
          <t>Customer Support</t>
        </is>
      </c>
      <c r="B68" t="inlineStr">
        <is>
          <t>Jan-26</t>
        </is>
      </c>
      <c r="C68" t="inlineStr">
        <is>
          <t>Cost of Revenue</t>
        </is>
      </c>
      <c r="D68" t="n">
        <v>20435</v>
      </c>
    </row>
    <row r="69">
      <c r="A69" t="inlineStr">
        <is>
          <t>Customer Support</t>
        </is>
      </c>
      <c r="B69" t="inlineStr">
        <is>
          <t>Jan-26</t>
        </is>
      </c>
      <c r="C69" t="inlineStr">
        <is>
          <t>Cost of Revenue</t>
        </is>
      </c>
      <c r="D69" t="n">
        <v>13065</v>
      </c>
    </row>
    <row r="70">
      <c r="A70" t="inlineStr">
        <is>
          <t>Customer Support</t>
        </is>
      </c>
      <c r="B70" t="inlineStr">
        <is>
          <t>Feb-26</t>
        </is>
      </c>
      <c r="C70" t="inlineStr">
        <is>
          <t>Cost of Revenue</t>
        </is>
      </c>
      <c r="D70" t="n">
        <v>21228</v>
      </c>
    </row>
    <row r="71">
      <c r="A71" t="inlineStr">
        <is>
          <t>Customer Support</t>
        </is>
      </c>
      <c r="B71" t="inlineStr">
        <is>
          <t>Feb-26</t>
        </is>
      </c>
      <c r="C71" t="inlineStr">
        <is>
          <t>Cost of Revenue</t>
        </is>
      </c>
      <c r="D71" t="n">
        <v>13572</v>
      </c>
    </row>
    <row r="72">
      <c r="A72" t="inlineStr">
        <is>
          <t>Customer Support</t>
        </is>
      </c>
      <c r="B72" t="inlineStr">
        <is>
          <t>Mar-26</t>
        </is>
      </c>
      <c r="C72" t="inlineStr">
        <is>
          <t>Cost of Revenue</t>
        </is>
      </c>
      <c r="D72" t="n">
        <v>21259</v>
      </c>
    </row>
    <row r="73">
      <c r="A73" t="inlineStr">
        <is>
          <t>Customer Support</t>
        </is>
      </c>
      <c r="B73" t="inlineStr">
        <is>
          <t>Mar-26</t>
        </is>
      </c>
      <c r="C73" t="inlineStr">
        <is>
          <t>Cost of Revenue</t>
        </is>
      </c>
      <c r="D73" t="n">
        <v>13591</v>
      </c>
    </row>
    <row r="74">
      <c r="A74" t="inlineStr">
        <is>
          <t>Customer Support</t>
        </is>
      </c>
      <c r="B74" t="inlineStr">
        <is>
          <t>Apr-26</t>
        </is>
      </c>
      <c r="C74" t="inlineStr">
        <is>
          <t>Cost of Revenue</t>
        </is>
      </c>
      <c r="D74" t="n">
        <v>22540</v>
      </c>
    </row>
    <row r="75">
      <c r="A75" t="inlineStr">
        <is>
          <t>Customer Support</t>
        </is>
      </c>
      <c r="B75" t="inlineStr">
        <is>
          <t>Apr-26</t>
        </is>
      </c>
      <c r="C75" t="inlineStr">
        <is>
          <t>Cost of Revenue</t>
        </is>
      </c>
      <c r="D75" t="n">
        <v>14410</v>
      </c>
    </row>
    <row r="76">
      <c r="A76" t="inlineStr">
        <is>
          <t>Customer Support</t>
        </is>
      </c>
      <c r="B76" t="inlineStr">
        <is>
          <t>May-26</t>
        </is>
      </c>
      <c r="C76" t="inlineStr">
        <is>
          <t>Cost of Revenue</t>
        </is>
      </c>
      <c r="D76" t="n">
        <v>22387</v>
      </c>
    </row>
    <row r="77">
      <c r="A77" t="inlineStr">
        <is>
          <t>Customer Support</t>
        </is>
      </c>
      <c r="B77" t="inlineStr">
        <is>
          <t>May-26</t>
        </is>
      </c>
      <c r="C77" t="inlineStr">
        <is>
          <t>Cost of Revenue</t>
        </is>
      </c>
      <c r="D77" t="n">
        <v>14313</v>
      </c>
    </row>
    <row r="78">
      <c r="A78" t="inlineStr">
        <is>
          <t>Customer Support</t>
        </is>
      </c>
      <c r="B78" t="inlineStr">
        <is>
          <t>Jun-26</t>
        </is>
      </c>
      <c r="C78" t="inlineStr">
        <is>
          <t>Cost of Revenue</t>
        </is>
      </c>
      <c r="D78" t="n">
        <v>23790</v>
      </c>
    </row>
    <row r="79">
      <c r="A79" t="inlineStr">
        <is>
          <t>Customer Support</t>
        </is>
      </c>
      <c r="B79" t="inlineStr">
        <is>
          <t>Jun-26</t>
        </is>
      </c>
      <c r="C79" t="inlineStr">
        <is>
          <t>Cost of Revenue</t>
        </is>
      </c>
      <c r="D79" t="n">
        <v>15210</v>
      </c>
    </row>
    <row r="80">
      <c r="A80" t="inlineStr">
        <is>
          <t>Services Delivery</t>
        </is>
      </c>
      <c r="B80" t="inlineStr">
        <is>
          <t>Jan-26</t>
        </is>
      </c>
      <c r="C80" t="inlineStr">
        <is>
          <t>Cost of Revenue</t>
        </is>
      </c>
      <c r="D80" t="n">
        <v>21960</v>
      </c>
    </row>
    <row r="81">
      <c r="A81" t="inlineStr">
        <is>
          <t>Services Delivery</t>
        </is>
      </c>
      <c r="B81" t="inlineStr">
        <is>
          <t>Jan-26</t>
        </is>
      </c>
      <c r="C81" t="inlineStr">
        <is>
          <t>Cost of Revenue</t>
        </is>
      </c>
      <c r="D81" t="n">
        <v>14040</v>
      </c>
    </row>
    <row r="82">
      <c r="A82" t="inlineStr">
        <is>
          <t>Services Delivery</t>
        </is>
      </c>
      <c r="B82" t="inlineStr">
        <is>
          <t>Feb-26</t>
        </is>
      </c>
      <c r="C82" t="inlineStr">
        <is>
          <t>Cost of Revenue</t>
        </is>
      </c>
      <c r="D82" t="n">
        <v>24705</v>
      </c>
    </row>
    <row r="83">
      <c r="A83" t="inlineStr">
        <is>
          <t>Services Delivery</t>
        </is>
      </c>
      <c r="B83" t="inlineStr">
        <is>
          <t>Feb-26</t>
        </is>
      </c>
      <c r="C83" t="inlineStr">
        <is>
          <t>Cost of Revenue</t>
        </is>
      </c>
      <c r="D83" t="n">
        <v>15795</v>
      </c>
    </row>
    <row r="84">
      <c r="A84" t="inlineStr">
        <is>
          <t>Services Delivery</t>
        </is>
      </c>
      <c r="B84" t="inlineStr">
        <is>
          <t>Mar-26</t>
        </is>
      </c>
      <c r="C84" t="inlineStr">
        <is>
          <t>Cost of Revenue</t>
        </is>
      </c>
      <c r="D84" t="n">
        <v>21350</v>
      </c>
    </row>
    <row r="85">
      <c r="A85" t="inlineStr">
        <is>
          <t>Services Delivery</t>
        </is>
      </c>
      <c r="B85" t="inlineStr">
        <is>
          <t>Mar-26</t>
        </is>
      </c>
      <c r="C85" t="inlineStr">
        <is>
          <t>Cost of Revenue</t>
        </is>
      </c>
      <c r="D85" t="n">
        <v>13650</v>
      </c>
    </row>
    <row r="86">
      <c r="A86" t="inlineStr">
        <is>
          <t>Services Delivery</t>
        </is>
      </c>
      <c r="B86" t="inlineStr">
        <is>
          <t>Apr-26</t>
        </is>
      </c>
      <c r="C86" t="inlineStr">
        <is>
          <t>Cost of Revenue</t>
        </is>
      </c>
      <c r="D86" t="n">
        <v>28670</v>
      </c>
    </row>
    <row r="87">
      <c r="A87" t="inlineStr">
        <is>
          <t>Services Delivery</t>
        </is>
      </c>
      <c r="B87" t="inlineStr">
        <is>
          <t>Apr-26</t>
        </is>
      </c>
      <c r="C87" t="inlineStr">
        <is>
          <t>Cost of Revenue</t>
        </is>
      </c>
      <c r="D87" t="n">
        <v>18330</v>
      </c>
    </row>
    <row r="88">
      <c r="A88" t="inlineStr">
        <is>
          <t>Services Delivery</t>
        </is>
      </c>
      <c r="B88" t="inlineStr">
        <is>
          <t>May-26</t>
        </is>
      </c>
      <c r="C88" t="inlineStr">
        <is>
          <t>Cost of Revenue</t>
        </is>
      </c>
      <c r="D88" t="n">
        <v>23790</v>
      </c>
    </row>
    <row r="89">
      <c r="A89" t="inlineStr">
        <is>
          <t>Services Delivery</t>
        </is>
      </c>
      <c r="B89" t="inlineStr">
        <is>
          <t>May-26</t>
        </is>
      </c>
      <c r="C89" t="inlineStr">
        <is>
          <t>Cost of Revenue</t>
        </is>
      </c>
      <c r="D89" t="n">
        <v>15210</v>
      </c>
    </row>
    <row r="90">
      <c r="A90" t="inlineStr">
        <is>
          <t>Services Delivery</t>
        </is>
      </c>
      <c r="B90" t="inlineStr">
        <is>
          <t>Jun-26</t>
        </is>
      </c>
      <c r="C90" t="inlineStr">
        <is>
          <t>Cost of Revenue</t>
        </is>
      </c>
      <c r="D90" t="n">
        <v>32330</v>
      </c>
    </row>
    <row r="91">
      <c r="A91" t="inlineStr">
        <is>
          <t>Services Delivery</t>
        </is>
      </c>
      <c r="B91" t="inlineStr">
        <is>
          <t>Jun-26</t>
        </is>
      </c>
      <c r="C91" t="inlineStr">
        <is>
          <t>Cost of Revenue</t>
        </is>
      </c>
      <c r="D91" t="n">
        <v>20670</v>
      </c>
    </row>
    <row r="92">
      <c r="A92" t="inlineStr">
        <is>
          <t>Sales &amp; Marketing</t>
        </is>
      </c>
      <c r="B92" t="inlineStr">
        <is>
          <t>Jan-26</t>
        </is>
      </c>
      <c r="C92" t="inlineStr">
        <is>
          <t>Operating Expenses</t>
        </is>
      </c>
      <c r="D92" t="n">
        <v>85320</v>
      </c>
    </row>
    <row r="93">
      <c r="A93" t="inlineStr">
        <is>
          <t>Sales &amp; Marketing</t>
        </is>
      </c>
      <c r="B93" t="inlineStr">
        <is>
          <t>Jan-26</t>
        </is>
      </c>
      <c r="C93" t="inlineStr">
        <is>
          <t>Operating Expenses</t>
        </is>
      </c>
      <c r="D93" t="n">
        <v>44240</v>
      </c>
    </row>
    <row r="94">
      <c r="A94" t="inlineStr">
        <is>
          <t>Sales &amp; Marketing</t>
        </is>
      </c>
      <c r="B94" t="inlineStr">
        <is>
          <t>Jan-26</t>
        </is>
      </c>
      <c r="C94" t="inlineStr">
        <is>
          <t>Operating Expenses</t>
        </is>
      </c>
      <c r="D94" t="n">
        <v>28440</v>
      </c>
    </row>
    <row r="95">
      <c r="A95" t="inlineStr">
        <is>
          <t>Sales &amp; Marketing</t>
        </is>
      </c>
      <c r="B95" t="inlineStr">
        <is>
          <t>Feb-26</t>
        </is>
      </c>
      <c r="C95" t="inlineStr">
        <is>
          <t>Operating Expenses</t>
        </is>
      </c>
      <c r="D95" t="n">
        <v>88560</v>
      </c>
    </row>
    <row r="96">
      <c r="A96" t="inlineStr">
        <is>
          <t>Sales &amp; Marketing</t>
        </is>
      </c>
      <c r="B96" t="inlineStr">
        <is>
          <t>Feb-26</t>
        </is>
      </c>
      <c r="C96" t="inlineStr">
        <is>
          <t>Operating Expenses</t>
        </is>
      </c>
      <c r="D96" t="n">
        <v>45920</v>
      </c>
    </row>
    <row r="97">
      <c r="A97" t="inlineStr">
        <is>
          <t>Sales &amp; Marketing</t>
        </is>
      </c>
      <c r="B97" t="inlineStr">
        <is>
          <t>Feb-26</t>
        </is>
      </c>
      <c r="C97" t="inlineStr">
        <is>
          <t>Operating Expenses</t>
        </is>
      </c>
      <c r="D97" t="n">
        <v>29520</v>
      </c>
    </row>
    <row r="98">
      <c r="A98" t="inlineStr">
        <is>
          <t>Sales &amp; Marketing</t>
        </is>
      </c>
      <c r="B98" t="inlineStr">
        <is>
          <t>Mar-26</t>
        </is>
      </c>
      <c r="C98" t="inlineStr">
        <is>
          <t>Operating Expenses</t>
        </is>
      </c>
      <c r="D98" t="n">
        <v>92340</v>
      </c>
    </row>
    <row r="99">
      <c r="A99" t="inlineStr">
        <is>
          <t>Sales &amp; Marketing</t>
        </is>
      </c>
      <c r="B99" t="inlineStr">
        <is>
          <t>Mar-26</t>
        </is>
      </c>
      <c r="C99" t="inlineStr">
        <is>
          <t>Operating Expenses</t>
        </is>
      </c>
      <c r="D99" t="n">
        <v>47880</v>
      </c>
    </row>
    <row r="100">
      <c r="A100" t="inlineStr">
        <is>
          <t>Sales &amp; Marketing</t>
        </is>
      </c>
      <c r="B100" t="inlineStr">
        <is>
          <t>Mar-26</t>
        </is>
      </c>
      <c r="C100" t="inlineStr">
        <is>
          <t>Operating Expenses</t>
        </is>
      </c>
      <c r="D100" t="n">
        <v>30780</v>
      </c>
    </row>
    <row r="101">
      <c r="A101" t="inlineStr">
        <is>
          <t>Sales &amp; Marketing</t>
        </is>
      </c>
      <c r="B101" t="inlineStr">
        <is>
          <t>Apr-26</t>
        </is>
      </c>
      <c r="C101" t="inlineStr">
        <is>
          <t>Operating Expenses</t>
        </is>
      </c>
      <c r="D101" t="n">
        <v>90180</v>
      </c>
    </row>
    <row r="102">
      <c r="A102" t="inlineStr">
        <is>
          <t>Sales &amp; Marketing</t>
        </is>
      </c>
      <c r="B102" t="inlineStr">
        <is>
          <t>Apr-26</t>
        </is>
      </c>
      <c r="C102" t="inlineStr">
        <is>
          <t>Operating Expenses</t>
        </is>
      </c>
      <c r="D102" t="n">
        <v>46760</v>
      </c>
    </row>
    <row r="103">
      <c r="A103" t="inlineStr">
        <is>
          <t>Sales &amp; Marketing</t>
        </is>
      </c>
      <c r="B103" t="inlineStr">
        <is>
          <t>Apr-26</t>
        </is>
      </c>
      <c r="C103" t="inlineStr">
        <is>
          <t>Operating Expenses</t>
        </is>
      </c>
      <c r="D103" t="n">
        <v>30060</v>
      </c>
    </row>
    <row r="104">
      <c r="A104" t="inlineStr">
        <is>
          <t>Sales &amp; Marketing</t>
        </is>
      </c>
      <c r="B104" t="inlineStr">
        <is>
          <t>May-26</t>
        </is>
      </c>
      <c r="C104" t="inlineStr">
        <is>
          <t>Operating Expenses</t>
        </is>
      </c>
      <c r="D104" t="n">
        <v>96120</v>
      </c>
    </row>
    <row r="105">
      <c r="A105" t="inlineStr">
        <is>
          <t>Sales &amp; Marketing</t>
        </is>
      </c>
      <c r="B105" t="inlineStr">
        <is>
          <t>May-26</t>
        </is>
      </c>
      <c r="C105" t="inlineStr">
        <is>
          <t>Operating Expenses</t>
        </is>
      </c>
      <c r="D105" t="n">
        <v>49840</v>
      </c>
    </row>
    <row r="106">
      <c r="A106" t="inlineStr">
        <is>
          <t>Sales &amp; Marketing</t>
        </is>
      </c>
      <c r="B106" t="inlineStr">
        <is>
          <t>May-26</t>
        </is>
      </c>
      <c r="C106" t="inlineStr">
        <is>
          <t>Operating Expenses</t>
        </is>
      </c>
      <c r="D106" t="n">
        <v>32040</v>
      </c>
    </row>
    <row r="107">
      <c r="A107" t="inlineStr">
        <is>
          <t>Sales &amp; Marketing</t>
        </is>
      </c>
      <c r="B107" t="inlineStr">
        <is>
          <t>Jun-26</t>
        </is>
      </c>
      <c r="C107" t="inlineStr">
        <is>
          <t>Operating Expenses</t>
        </is>
      </c>
      <c r="D107" t="n">
        <v>100440</v>
      </c>
    </row>
    <row r="108">
      <c r="A108" t="inlineStr">
        <is>
          <t>Sales &amp; Marketing</t>
        </is>
      </c>
      <c r="B108" t="inlineStr">
        <is>
          <t>Jun-26</t>
        </is>
      </c>
      <c r="C108" t="inlineStr">
        <is>
          <t>Operating Expenses</t>
        </is>
      </c>
      <c r="D108" t="n">
        <v>52080</v>
      </c>
    </row>
    <row r="109">
      <c r="A109" t="inlineStr">
        <is>
          <t>Sales &amp; Marketing</t>
        </is>
      </c>
      <c r="B109" t="inlineStr">
        <is>
          <t>Jun-26</t>
        </is>
      </c>
      <c r="C109" t="inlineStr">
        <is>
          <t>Operating Expenses</t>
        </is>
      </c>
      <c r="D109" t="n">
        <v>33480</v>
      </c>
    </row>
    <row r="110">
      <c r="A110" t="inlineStr">
        <is>
          <t>Research &amp; Development</t>
        </is>
      </c>
      <c r="B110" t="inlineStr">
        <is>
          <t>Jan-26</t>
        </is>
      </c>
      <c r="C110" t="inlineStr">
        <is>
          <t>Operating Expenses</t>
        </is>
      </c>
      <c r="D110" t="n">
        <v>104920</v>
      </c>
    </row>
    <row r="111">
      <c r="A111" t="inlineStr">
        <is>
          <t>Research &amp; Development</t>
        </is>
      </c>
      <c r="B111" t="inlineStr">
        <is>
          <t>Jan-26</t>
        </is>
      </c>
      <c r="C111" t="inlineStr">
        <is>
          <t>Operating Expenses</t>
        </is>
      </c>
      <c r="D111" t="n">
        <v>67080</v>
      </c>
    </row>
    <row r="112">
      <c r="A112" t="inlineStr">
        <is>
          <t>Research &amp; Development</t>
        </is>
      </c>
      <c r="B112" t="inlineStr">
        <is>
          <t>Feb-26</t>
        </is>
      </c>
      <c r="C112" t="inlineStr">
        <is>
          <t>Operating Expenses</t>
        </is>
      </c>
      <c r="D112" t="n">
        <v>107696</v>
      </c>
    </row>
    <row r="113">
      <c r="A113" t="inlineStr">
        <is>
          <t>Research &amp; Development</t>
        </is>
      </c>
      <c r="B113" t="inlineStr">
        <is>
          <t>Feb-26</t>
        </is>
      </c>
      <c r="C113" t="inlineStr">
        <is>
          <t>Operating Expenses</t>
        </is>
      </c>
      <c r="D113" t="n">
        <v>68854</v>
      </c>
    </row>
    <row r="114">
      <c r="A114" t="inlineStr">
        <is>
          <t>Research &amp; Development</t>
        </is>
      </c>
      <c r="B114" t="inlineStr">
        <is>
          <t>Mar-26</t>
        </is>
      </c>
      <c r="C114" t="inlineStr">
        <is>
          <t>Operating Expenses</t>
        </is>
      </c>
      <c r="D114" t="n">
        <v>109709</v>
      </c>
    </row>
    <row r="115">
      <c r="A115" t="inlineStr">
        <is>
          <t>Research &amp; Development</t>
        </is>
      </c>
      <c r="B115" t="inlineStr">
        <is>
          <t>Mar-26</t>
        </is>
      </c>
      <c r="C115" t="inlineStr">
        <is>
          <t>Operating Expenses</t>
        </is>
      </c>
      <c r="D115" t="n">
        <v>70141</v>
      </c>
    </row>
    <row r="116">
      <c r="A116" t="inlineStr">
        <is>
          <t>Research &amp; Development</t>
        </is>
      </c>
      <c r="B116" t="inlineStr">
        <is>
          <t>Apr-26</t>
        </is>
      </c>
      <c r="C116" t="inlineStr">
        <is>
          <t>Operating Expenses</t>
        </is>
      </c>
      <c r="D116" t="n">
        <v>112972</v>
      </c>
    </row>
    <row r="117">
      <c r="A117" t="inlineStr">
        <is>
          <t>Research &amp; Development</t>
        </is>
      </c>
      <c r="B117" t="inlineStr">
        <is>
          <t>Apr-26</t>
        </is>
      </c>
      <c r="C117" t="inlineStr">
        <is>
          <t>Operating Expenses</t>
        </is>
      </c>
      <c r="D117" t="n">
        <v>72228</v>
      </c>
    </row>
    <row r="118">
      <c r="A118" t="inlineStr">
        <is>
          <t>Research &amp; Development</t>
        </is>
      </c>
      <c r="B118" t="inlineStr">
        <is>
          <t>May-26</t>
        </is>
      </c>
      <c r="C118" t="inlineStr">
        <is>
          <t>Operating Expenses</t>
        </is>
      </c>
      <c r="D118" t="n">
        <v>114802</v>
      </c>
    </row>
    <row r="119">
      <c r="A119" t="inlineStr">
        <is>
          <t>Research &amp; Development</t>
        </is>
      </c>
      <c r="B119" t="inlineStr">
        <is>
          <t>May-26</t>
        </is>
      </c>
      <c r="C119" t="inlineStr">
        <is>
          <t>Operating Expenses</t>
        </is>
      </c>
      <c r="D119" t="n">
        <v>73398</v>
      </c>
    </row>
    <row r="120">
      <c r="A120" t="inlineStr">
        <is>
          <t>Research &amp; Development</t>
        </is>
      </c>
      <c r="B120" t="inlineStr">
        <is>
          <t>Jun-26</t>
        </is>
      </c>
      <c r="C120" t="inlineStr">
        <is>
          <t>Operating Expenses</t>
        </is>
      </c>
      <c r="D120" t="n">
        <v>118188</v>
      </c>
    </row>
    <row r="121">
      <c r="A121" t="inlineStr">
        <is>
          <t>Research &amp; Development</t>
        </is>
      </c>
      <c r="B121" t="inlineStr">
        <is>
          <t>Jun-26</t>
        </is>
      </c>
      <c r="C121" t="inlineStr">
        <is>
          <t>Operating Expenses</t>
        </is>
      </c>
      <c r="D121" t="n">
        <v>75562</v>
      </c>
    </row>
    <row r="122">
      <c r="A122" t="inlineStr">
        <is>
          <t>General &amp; Administrative</t>
        </is>
      </c>
      <c r="B122" t="inlineStr">
        <is>
          <t>Jan-26</t>
        </is>
      </c>
      <c r="C122" t="inlineStr">
        <is>
          <t>Operating Expenses</t>
        </is>
      </c>
      <c r="D122" t="n">
        <v>46710</v>
      </c>
    </row>
    <row r="123">
      <c r="A123" t="inlineStr">
        <is>
          <t>General &amp; Administrative</t>
        </is>
      </c>
      <c r="B123" t="inlineStr">
        <is>
          <t>Jan-26</t>
        </is>
      </c>
      <c r="C123" t="inlineStr">
        <is>
          <t>Operating Expenses</t>
        </is>
      </c>
      <c r="D123" t="n">
        <v>24220</v>
      </c>
    </row>
    <row r="124">
      <c r="A124" t="inlineStr">
        <is>
          <t>General &amp; Administrative</t>
        </is>
      </c>
      <c r="B124" t="inlineStr">
        <is>
          <t>Jan-26</t>
        </is>
      </c>
      <c r="C124" t="inlineStr">
        <is>
          <t>Operating Expenses</t>
        </is>
      </c>
      <c r="D124" t="n">
        <v>15570</v>
      </c>
    </row>
    <row r="125">
      <c r="A125" t="inlineStr">
        <is>
          <t>General &amp; Administrative</t>
        </is>
      </c>
      <c r="B125" t="inlineStr">
        <is>
          <t>Feb-26</t>
        </is>
      </c>
      <c r="C125" t="inlineStr">
        <is>
          <t>Operating Expenses</t>
        </is>
      </c>
      <c r="D125" t="n">
        <v>47763</v>
      </c>
    </row>
    <row r="126">
      <c r="A126" t="inlineStr">
        <is>
          <t>General &amp; Administrative</t>
        </is>
      </c>
      <c r="B126" t="inlineStr">
        <is>
          <t>Feb-26</t>
        </is>
      </c>
      <c r="C126" t="inlineStr">
        <is>
          <t>Operating Expenses</t>
        </is>
      </c>
      <c r="D126" t="n">
        <v>24766</v>
      </c>
    </row>
    <row r="127">
      <c r="A127" t="inlineStr">
        <is>
          <t>General &amp; Administrative</t>
        </is>
      </c>
      <c r="B127" t="inlineStr">
        <is>
          <t>Feb-26</t>
        </is>
      </c>
      <c r="C127" t="inlineStr">
        <is>
          <t>Operating Expenses</t>
        </is>
      </c>
      <c r="D127" t="n">
        <v>15921</v>
      </c>
    </row>
    <row r="128">
      <c r="A128" t="inlineStr">
        <is>
          <t>General &amp; Administrative</t>
        </is>
      </c>
      <c r="B128" t="inlineStr">
        <is>
          <t>Mar-26</t>
        </is>
      </c>
      <c r="C128" t="inlineStr">
        <is>
          <t>Operating Expenses</t>
        </is>
      </c>
      <c r="D128" t="n">
        <v>48141</v>
      </c>
    </row>
    <row r="129">
      <c r="A129" t="inlineStr">
        <is>
          <t>General &amp; Administrative</t>
        </is>
      </c>
      <c r="B129" t="inlineStr">
        <is>
          <t>Mar-26</t>
        </is>
      </c>
      <c r="C129" t="inlineStr">
        <is>
          <t>Operating Expenses</t>
        </is>
      </c>
      <c r="D129" t="n">
        <v>24962</v>
      </c>
    </row>
    <row r="130">
      <c r="A130" t="inlineStr">
        <is>
          <t>General &amp; Administrative</t>
        </is>
      </c>
      <c r="B130" t="inlineStr">
        <is>
          <t>Mar-26</t>
        </is>
      </c>
      <c r="C130" t="inlineStr">
        <is>
          <t>Operating Expenses</t>
        </is>
      </c>
      <c r="D130" t="n">
        <v>16047</v>
      </c>
    </row>
    <row r="131">
      <c r="A131" t="inlineStr">
        <is>
          <t>General &amp; Administrative</t>
        </is>
      </c>
      <c r="B131" t="inlineStr">
        <is>
          <t>Apr-26</t>
        </is>
      </c>
      <c r="C131" t="inlineStr">
        <is>
          <t>Operating Expenses</t>
        </is>
      </c>
      <c r="D131" t="n">
        <v>49626</v>
      </c>
    </row>
    <row r="132">
      <c r="A132" t="inlineStr">
        <is>
          <t>General &amp; Administrative</t>
        </is>
      </c>
      <c r="B132" t="inlineStr">
        <is>
          <t>Apr-26</t>
        </is>
      </c>
      <c r="C132" t="inlineStr">
        <is>
          <t>Operating Expenses</t>
        </is>
      </c>
      <c r="D132" t="n">
        <v>25732</v>
      </c>
    </row>
    <row r="133">
      <c r="A133" t="inlineStr">
        <is>
          <t>General &amp; Administrative</t>
        </is>
      </c>
      <c r="B133" t="inlineStr">
        <is>
          <t>Apr-26</t>
        </is>
      </c>
      <c r="C133" t="inlineStr">
        <is>
          <t>Operating Expenses</t>
        </is>
      </c>
      <c r="D133" t="n">
        <v>16542</v>
      </c>
    </row>
    <row r="134">
      <c r="A134" t="inlineStr">
        <is>
          <t>General &amp; Administrative</t>
        </is>
      </c>
      <c r="B134" t="inlineStr">
        <is>
          <t>May-26</t>
        </is>
      </c>
      <c r="C134" t="inlineStr">
        <is>
          <t>Operating Expenses</t>
        </is>
      </c>
      <c r="D134" t="n">
        <v>49842</v>
      </c>
    </row>
    <row r="135">
      <c r="A135" t="inlineStr">
        <is>
          <t>General &amp; Administrative</t>
        </is>
      </c>
      <c r="B135" t="inlineStr">
        <is>
          <t>May-26</t>
        </is>
      </c>
      <c r="C135" t="inlineStr">
        <is>
          <t>Operating Expenses</t>
        </is>
      </c>
      <c r="D135" t="n">
        <v>25844</v>
      </c>
    </row>
    <row r="136">
      <c r="A136" t="inlineStr">
        <is>
          <t>General &amp; Administrative</t>
        </is>
      </c>
      <c r="B136" t="inlineStr">
        <is>
          <t>May-26</t>
        </is>
      </c>
      <c r="C136" t="inlineStr">
        <is>
          <t>Operating Expenses</t>
        </is>
      </c>
      <c r="D136" t="n">
        <v>16614</v>
      </c>
    </row>
    <row r="137">
      <c r="A137" t="inlineStr">
        <is>
          <t>General &amp; Administrative</t>
        </is>
      </c>
      <c r="B137" t="inlineStr">
        <is>
          <t>Jun-26</t>
        </is>
      </c>
      <c r="C137" t="inlineStr">
        <is>
          <t>Operating Expenses</t>
        </is>
      </c>
      <c r="D137" t="n">
        <v>51435</v>
      </c>
    </row>
    <row r="138">
      <c r="A138" t="inlineStr">
        <is>
          <t>General &amp; Administrative</t>
        </is>
      </c>
      <c r="B138" t="inlineStr">
        <is>
          <t>Jun-26</t>
        </is>
      </c>
      <c r="C138" t="inlineStr">
        <is>
          <t>Operating Expenses</t>
        </is>
      </c>
      <c r="D138" t="n">
        <v>26670</v>
      </c>
    </row>
    <row r="139">
      <c r="A139" t="inlineStr">
        <is>
          <t>General &amp; Administrative</t>
        </is>
      </c>
      <c r="B139" t="inlineStr">
        <is>
          <t>Jun-26</t>
        </is>
      </c>
      <c r="C139" t="inlineStr">
        <is>
          <t>Operating Expenses</t>
        </is>
      </c>
      <c r="D139" t="n">
        <v>17145</v>
      </c>
    </row>
    <row r="140">
      <c r="A140" t="inlineStr">
        <is>
          <t>People / Recruiting</t>
        </is>
      </c>
      <c r="B140" t="inlineStr">
        <is>
          <t>Jan-26</t>
        </is>
      </c>
      <c r="C140" t="inlineStr">
        <is>
          <t>Operating Expenses</t>
        </is>
      </c>
      <c r="D140" t="n">
        <v>11590</v>
      </c>
    </row>
    <row r="141">
      <c r="A141" t="inlineStr">
        <is>
          <t>People / Recruiting</t>
        </is>
      </c>
      <c r="B141" t="inlineStr">
        <is>
          <t>Jan-26</t>
        </is>
      </c>
      <c r="C141" t="inlineStr">
        <is>
          <t>Operating Expenses</t>
        </is>
      </c>
      <c r="D141" t="n">
        <v>7410</v>
      </c>
    </row>
    <row r="142">
      <c r="A142" t="inlineStr">
        <is>
          <t>People / Recruiting</t>
        </is>
      </c>
      <c r="B142" t="inlineStr">
        <is>
          <t>Feb-26</t>
        </is>
      </c>
      <c r="C142" t="inlineStr">
        <is>
          <t>Operating Expenses</t>
        </is>
      </c>
      <c r="D142" t="n">
        <v>14030</v>
      </c>
    </row>
    <row r="143">
      <c r="A143" t="inlineStr">
        <is>
          <t>People / Recruiting</t>
        </is>
      </c>
      <c r="B143" t="inlineStr">
        <is>
          <t>Feb-26</t>
        </is>
      </c>
      <c r="C143" t="inlineStr">
        <is>
          <t>Operating Expenses</t>
        </is>
      </c>
      <c r="D143" t="n">
        <v>8970</v>
      </c>
    </row>
    <row r="144">
      <c r="A144" t="inlineStr">
        <is>
          <t>People / Recruiting</t>
        </is>
      </c>
      <c r="B144" t="inlineStr">
        <is>
          <t>Mar-26</t>
        </is>
      </c>
      <c r="C144" t="inlineStr">
        <is>
          <t>Operating Expenses</t>
        </is>
      </c>
      <c r="D144" t="n">
        <v>10370</v>
      </c>
    </row>
    <row r="145">
      <c r="A145" t="inlineStr">
        <is>
          <t>People / Recruiting</t>
        </is>
      </c>
      <c r="B145" t="inlineStr">
        <is>
          <t>Mar-26</t>
        </is>
      </c>
      <c r="C145" t="inlineStr">
        <is>
          <t>Operating Expenses</t>
        </is>
      </c>
      <c r="D145" t="n">
        <v>6630</v>
      </c>
    </row>
    <row r="146">
      <c r="A146" t="inlineStr">
        <is>
          <t>People / Recruiting</t>
        </is>
      </c>
      <c r="B146" t="inlineStr">
        <is>
          <t>Apr-26</t>
        </is>
      </c>
      <c r="C146" t="inlineStr">
        <is>
          <t>Operating Expenses</t>
        </is>
      </c>
      <c r="D146" t="n">
        <v>17080</v>
      </c>
    </row>
    <row r="147">
      <c r="A147" t="inlineStr">
        <is>
          <t>People / Recruiting</t>
        </is>
      </c>
      <c r="B147" t="inlineStr">
        <is>
          <t>Apr-26</t>
        </is>
      </c>
      <c r="C147" t="inlineStr">
        <is>
          <t>Operating Expenses</t>
        </is>
      </c>
      <c r="D147" t="n">
        <v>10920</v>
      </c>
    </row>
    <row r="148">
      <c r="A148" t="inlineStr">
        <is>
          <t>People / Recruiting</t>
        </is>
      </c>
      <c r="B148" t="inlineStr">
        <is>
          <t>May-26</t>
        </is>
      </c>
      <c r="C148" t="inlineStr">
        <is>
          <t>Operating Expenses</t>
        </is>
      </c>
      <c r="D148" t="n">
        <v>12810</v>
      </c>
    </row>
    <row r="149">
      <c r="A149" t="inlineStr">
        <is>
          <t>People / Recruiting</t>
        </is>
      </c>
      <c r="B149" t="inlineStr">
        <is>
          <t>May-26</t>
        </is>
      </c>
      <c r="C149" t="inlineStr">
        <is>
          <t>Operating Expenses</t>
        </is>
      </c>
      <c r="D149" t="n">
        <v>8190</v>
      </c>
    </row>
    <row r="150">
      <c r="A150" t="inlineStr">
        <is>
          <t>People / Recruiting</t>
        </is>
      </c>
      <c r="B150" t="inlineStr">
        <is>
          <t>Jun-26</t>
        </is>
      </c>
      <c r="C150" t="inlineStr">
        <is>
          <t>Operating Expenses</t>
        </is>
      </c>
      <c r="D150" t="n">
        <v>15860</v>
      </c>
    </row>
    <row r="151">
      <c r="A151" t="inlineStr">
        <is>
          <t>People / Recruiting</t>
        </is>
      </c>
      <c r="B151" t="inlineStr">
        <is>
          <t>Jun-26</t>
        </is>
      </c>
      <c r="C151" t="inlineStr">
        <is>
          <t>Operating Expenses</t>
        </is>
      </c>
      <c r="D151" t="n">
        <v>10140</v>
      </c>
    </row>
    <row r="152">
      <c r="A152" t="inlineStr">
        <is>
          <t>Depreciation &amp; Amort.</t>
        </is>
      </c>
      <c r="B152" t="inlineStr">
        <is>
          <t>Jan-26</t>
        </is>
      </c>
      <c r="C152" t="inlineStr">
        <is>
          <t>Below the Line</t>
        </is>
      </c>
      <c r="D152" t="n">
        <v>13800</v>
      </c>
    </row>
    <row r="153">
      <c r="A153" t="inlineStr">
        <is>
          <t>Depreciation &amp; Amort.</t>
        </is>
      </c>
      <c r="B153" t="inlineStr">
        <is>
          <t>Feb-26</t>
        </is>
      </c>
      <c r="C153" t="inlineStr">
        <is>
          <t>Below the Line</t>
        </is>
      </c>
      <c r="D153" t="n">
        <v>14250</v>
      </c>
    </row>
    <row r="154">
      <c r="A154" t="inlineStr">
        <is>
          <t>Depreciation &amp; Amort.</t>
        </is>
      </c>
      <c r="B154" t="inlineStr">
        <is>
          <t>Mar-26</t>
        </is>
      </c>
      <c r="C154" t="inlineStr">
        <is>
          <t>Below the Line</t>
        </is>
      </c>
      <c r="D154" t="n">
        <v>13450</v>
      </c>
    </row>
    <row r="155">
      <c r="A155" t="inlineStr">
        <is>
          <t>Depreciation &amp; Amort.</t>
        </is>
      </c>
      <c r="B155" t="inlineStr">
        <is>
          <t>Apr-26</t>
        </is>
      </c>
      <c r="C155" t="inlineStr">
        <is>
          <t>Below the Line</t>
        </is>
      </c>
      <c r="D155" t="n">
        <v>14700</v>
      </c>
    </row>
    <row r="156">
      <c r="A156" t="inlineStr">
        <is>
          <t>Depreciation &amp; Amort.</t>
        </is>
      </c>
      <c r="B156" t="inlineStr">
        <is>
          <t>May-26</t>
        </is>
      </c>
      <c r="C156" t="inlineStr">
        <is>
          <t>Below the Line</t>
        </is>
      </c>
      <c r="D156" t="n">
        <v>13600</v>
      </c>
    </row>
    <row r="157">
      <c r="A157" t="inlineStr">
        <is>
          <t>Depreciation &amp; Amort.</t>
        </is>
      </c>
      <c r="B157" t="inlineStr">
        <is>
          <t>Jun-26</t>
        </is>
      </c>
      <c r="C157" t="inlineStr">
        <is>
          <t>Below the Line</t>
        </is>
      </c>
      <c r="D157" t="n">
        <v>15050</v>
      </c>
    </row>
    <row r="158">
      <c r="A158" t="inlineStr">
        <is>
          <t>Interest Expense</t>
        </is>
      </c>
      <c r="B158" t="inlineStr">
        <is>
          <t>Jan-26</t>
        </is>
      </c>
      <c r="C158" t="inlineStr">
        <is>
          <t>Below the Line</t>
        </is>
      </c>
      <c r="D158" t="n">
        <v>5600</v>
      </c>
    </row>
    <row r="159">
      <c r="A159" t="inlineStr">
        <is>
          <t>Interest Expense</t>
        </is>
      </c>
      <c r="B159" t="inlineStr">
        <is>
          <t>Feb-26</t>
        </is>
      </c>
      <c r="C159" t="inlineStr">
        <is>
          <t>Below the Line</t>
        </is>
      </c>
      <c r="D159" t="n">
        <v>5600</v>
      </c>
    </row>
    <row r="160">
      <c r="A160" t="inlineStr">
        <is>
          <t>Interest Expense</t>
        </is>
      </c>
      <c r="B160" t="inlineStr">
        <is>
          <t>Mar-26</t>
        </is>
      </c>
      <c r="C160" t="inlineStr">
        <is>
          <t>Below the Line</t>
        </is>
      </c>
      <c r="D160" t="n">
        <v>5500</v>
      </c>
    </row>
    <row r="161">
      <c r="A161" t="inlineStr">
        <is>
          <t>Interest Expense</t>
        </is>
      </c>
      <c r="B161" t="inlineStr">
        <is>
          <t>Apr-26</t>
        </is>
      </c>
      <c r="C161" t="inlineStr">
        <is>
          <t>Below the Line</t>
        </is>
      </c>
      <c r="D161" t="n">
        <v>5500</v>
      </c>
    </row>
    <row r="162">
      <c r="A162" t="inlineStr">
        <is>
          <t>Interest Expense</t>
        </is>
      </c>
      <c r="B162" t="inlineStr">
        <is>
          <t>May-26</t>
        </is>
      </c>
      <c r="C162" t="inlineStr">
        <is>
          <t>Below the Line</t>
        </is>
      </c>
      <c r="D162" t="n">
        <v>5400</v>
      </c>
    </row>
    <row r="163">
      <c r="A163" t="inlineStr">
        <is>
          <t>Interest Expense</t>
        </is>
      </c>
      <c r="B163" t="inlineStr">
        <is>
          <t>Jun-26</t>
        </is>
      </c>
      <c r="C163" t="inlineStr">
        <is>
          <t>Below the Line</t>
        </is>
      </c>
      <c r="D163" t="n">
        <v>5400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/>
    <row r="2"/>
    <row r="3"/>
    <row r="4"/>
    <row r="5">
      <c r="A5" t="inlineStr">
        <is>
          <t>Line Item</t>
        </is>
      </c>
      <c r="B5" t="inlineStr">
        <is>
          <t>Method</t>
        </is>
      </c>
      <c r="C5" t="inlineStr">
        <is>
          <t>Monthly Growth</t>
        </is>
      </c>
      <c r="D5" t="inlineStr">
        <is>
          <t>Jul-26</t>
        </is>
      </c>
      <c r="E5" t="inlineStr">
        <is>
          <t>Aug-26</t>
        </is>
      </c>
      <c r="F5" t="inlineStr">
        <is>
          <t>Sep-26</t>
        </is>
      </c>
      <c r="G5" t="inlineStr">
        <is>
          <t>Oct-26</t>
        </is>
      </c>
      <c r="H5" t="inlineStr">
        <is>
          <t>Nov-26</t>
        </is>
      </c>
      <c r="I5" t="inlineStr">
        <is>
          <t>Dec-26</t>
        </is>
      </c>
    </row>
    <row r="6">
      <c r="A6" t="inlineStr">
        <is>
          <t>Subscription Revenue</t>
        </is>
      </c>
      <c r="B6" t="inlineStr">
        <is>
          <t>growth</t>
        </is>
      </c>
      <c r="C6">
        <f>Assumptions!B5</f>
        <v/>
      </c>
    </row>
    <row r="7">
      <c r="A7" t="inlineStr">
        <is>
          <t>Usage Revenue</t>
        </is>
      </c>
      <c r="B7" t="inlineStr">
        <is>
          <t>growth</t>
        </is>
      </c>
      <c r="C7" t="n">
        <v>0.0475</v>
      </c>
    </row>
    <row r="8">
      <c r="A8" t="inlineStr">
        <is>
          <t>Professional Services Rev</t>
        </is>
      </c>
      <c r="B8" t="inlineStr">
        <is>
          <t>manual</t>
        </is>
      </c>
      <c r="D8" t="n">
        <v>91000</v>
      </c>
      <c r="E8" t="n">
        <v>64000</v>
      </c>
      <c r="F8" t="n">
        <v>101000</v>
      </c>
      <c r="G8" t="n">
        <v>73000</v>
      </c>
      <c r="H8" t="n">
        <v>88000</v>
      </c>
      <c r="I8" t="n">
        <v>126000</v>
      </c>
    </row>
    <row r="9">
      <c r="A9" t="inlineStr">
        <is>
          <t>Hosting &amp; Infrastructure</t>
        </is>
      </c>
      <c r="B9" t="inlineStr">
        <is>
          <t>growth</t>
        </is>
      </c>
      <c r="C9" t="n">
        <v>0.021</v>
      </c>
    </row>
    <row r="10">
      <c r="A10" t="inlineStr">
        <is>
          <t>Customer Support</t>
        </is>
      </c>
      <c r="B10" t="inlineStr">
        <is>
          <t>growth</t>
        </is>
      </c>
      <c r="C10" t="n">
        <v>0.0125</v>
      </c>
    </row>
    <row r="11">
      <c r="A11" t="inlineStr">
        <is>
          <t>Services Delivery</t>
        </is>
      </c>
      <c r="B11" t="inlineStr">
        <is>
          <t>manual</t>
        </is>
      </c>
      <c r="D11" t="n">
        <v>53500</v>
      </c>
      <c r="E11" t="n">
        <v>39000</v>
      </c>
      <c r="F11" t="n">
        <v>60500</v>
      </c>
      <c r="G11" t="n">
        <v>44000</v>
      </c>
      <c r="H11" t="n">
        <v>52000</v>
      </c>
      <c r="I11" t="n">
        <v>72000</v>
      </c>
    </row>
    <row r="12">
      <c r="A12" t="inlineStr">
        <is>
          <t>Sales &amp; Marketing</t>
        </is>
      </c>
      <c r="B12" t="inlineStr">
        <is>
          <t>manual</t>
        </is>
      </c>
      <c r="D12" t="n">
        <v>181000</v>
      </c>
      <c r="E12" t="n">
        <v>176000</v>
      </c>
      <c r="F12" t="n">
        <v>204000</v>
      </c>
      <c r="G12" t="n">
        <v>188000</v>
      </c>
      <c r="H12" t="n">
        <v>232000</v>
      </c>
      <c r="I12" t="n">
        <v>195000</v>
      </c>
    </row>
    <row r="13">
      <c r="A13" t="inlineStr">
        <is>
          <t>Research &amp; Development</t>
        </is>
      </c>
      <c r="B13" t="inlineStr">
        <is>
          <t>growth</t>
        </is>
      </c>
      <c r="C13" t="n">
        <v>0.014</v>
      </c>
    </row>
    <row r="14">
      <c r="A14" t="inlineStr">
        <is>
          <t>General &amp; Administrative</t>
        </is>
      </c>
      <c r="B14" t="inlineStr">
        <is>
          <t>growth</t>
        </is>
      </c>
      <c r="C14" t="n">
        <v>0.0065</v>
      </c>
    </row>
    <row r="15">
      <c r="A15" t="inlineStr">
        <is>
          <t>People / Recruiting</t>
        </is>
      </c>
      <c r="B15" t="inlineStr">
        <is>
          <t>manual</t>
        </is>
      </c>
      <c r="D15" t="n">
        <v>24000</v>
      </c>
      <c r="E15" t="n">
        <v>0</v>
      </c>
      <c r="F15" t="n">
        <v>31000</v>
      </c>
      <c r="G15" t="n">
        <v>18000</v>
      </c>
      <c r="H15" t="n">
        <v>42000</v>
      </c>
      <c r="I15" t="n">
        <v>21000</v>
      </c>
    </row>
    <row r="16">
      <c r="A16" t="inlineStr">
        <is>
          <t>Depreciation &amp; Amort.</t>
        </is>
      </c>
      <c r="B16" t="inlineStr">
        <is>
          <t>flat</t>
        </is>
      </c>
    </row>
    <row r="17">
      <c r="A17" t="inlineStr">
        <is>
          <t>Interest Expense</t>
        </is>
      </c>
      <c r="B17" t="inlineStr">
        <is>
          <t>manual</t>
        </is>
      </c>
      <c r="D17" t="n">
        <v>5200</v>
      </c>
      <c r="E17" t="n">
        <v>5200</v>
      </c>
      <c r="F17" t="n">
        <v>5000</v>
      </c>
      <c r="G17" t="n">
        <v>5000</v>
      </c>
      <c r="H17" t="n">
        <v>4800</v>
      </c>
      <c r="I17" t="n">
        <v>4800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Line Item</t>
        </is>
      </c>
      <c r="B1" t="inlineStr">
        <is>
          <t>Section</t>
        </is>
      </c>
    </row>
    <row r="2">
      <c r="A2" t="inlineStr">
        <is>
          <t>Subscription Revenue</t>
        </is>
      </c>
      <c r="B2" t="inlineStr">
        <is>
          <t>Revenue</t>
        </is>
      </c>
    </row>
    <row r="3">
      <c r="A3" t="inlineStr">
        <is>
          <t>Usage Revenue</t>
        </is>
      </c>
      <c r="B3" t="inlineStr">
        <is>
          <t>Revenue</t>
        </is>
      </c>
    </row>
    <row r="4">
      <c r="A4" t="inlineStr">
        <is>
          <t>Professional Services Rev</t>
        </is>
      </c>
      <c r="B4" t="inlineStr">
        <is>
          <t>Revenue</t>
        </is>
      </c>
    </row>
    <row r="5">
      <c r="A5" t="inlineStr">
        <is>
          <t>Hosting &amp; Infrastructure</t>
        </is>
      </c>
      <c r="B5" t="inlineStr">
        <is>
          <t>Cost of Revenue</t>
        </is>
      </c>
    </row>
    <row r="6">
      <c r="A6" t="inlineStr">
        <is>
          <t>Customer Support</t>
        </is>
      </c>
      <c r="B6" t="inlineStr">
        <is>
          <t>Cost of Revenue</t>
        </is>
      </c>
    </row>
    <row r="7">
      <c r="A7" t="inlineStr">
        <is>
          <t>Services Delivery</t>
        </is>
      </c>
      <c r="B7" t="inlineStr">
        <is>
          <t>Cost of Revenue</t>
        </is>
      </c>
    </row>
    <row r="8">
      <c r="A8" t="inlineStr">
        <is>
          <t>Sales &amp; Marketing</t>
        </is>
      </c>
      <c r="B8" t="inlineStr">
        <is>
          <t>Operating Expenses</t>
        </is>
      </c>
    </row>
    <row r="9">
      <c r="A9" t="inlineStr">
        <is>
          <t>Research &amp; Development</t>
        </is>
      </c>
      <c r="B9" t="inlineStr">
        <is>
          <t>Operating Expenses</t>
        </is>
      </c>
    </row>
    <row r="10">
      <c r="A10" t="inlineStr">
        <is>
          <t>General &amp; Administrative</t>
        </is>
      </c>
      <c r="B10" t="inlineStr">
        <is>
          <t>Operating Expenses</t>
        </is>
      </c>
    </row>
    <row r="11">
      <c r="A11" t="inlineStr">
        <is>
          <t>People / Recruiting</t>
        </is>
      </c>
      <c r="B11" t="inlineStr">
        <is>
          <t>Operating Expenses</t>
        </is>
      </c>
    </row>
    <row r="12">
      <c r="A12" t="inlineStr">
        <is>
          <t>Depreciation &amp; Amort.</t>
        </is>
      </c>
      <c r="B12" t="inlineStr">
        <is>
          <t>Below the Line</t>
        </is>
      </c>
    </row>
    <row r="13">
      <c r="A13" t="inlineStr">
        <is>
          <t>Interest Expense</t>
        </is>
      </c>
      <c r="B13" t="inlineStr">
        <is>
          <t>Below the 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t="inlineStr">
        <is>
          <t>Line Item</t>
        </is>
      </c>
      <c r="B1" t="inlineStr">
        <is>
          <t>Section</t>
        </is>
      </c>
      <c r="C1" t="inlineStr">
        <is>
          <t>Method</t>
        </is>
      </c>
      <c r="D1" t="inlineStr">
        <is>
          <t>June Base</t>
        </is>
      </c>
      <c r="E1" t="inlineStr">
        <is>
          <t>Jul-26</t>
        </is>
      </c>
      <c r="F1" t="inlineStr">
        <is>
          <t>Aug-26</t>
        </is>
      </c>
      <c r="G1" t="inlineStr">
        <is>
          <t>Sep-26</t>
        </is>
      </c>
      <c r="H1" t="inlineStr">
        <is>
          <t>Oct-26</t>
        </is>
      </c>
      <c r="I1" t="inlineStr">
        <is>
          <t>Nov-26</t>
        </is>
      </c>
      <c r="J1" t="inlineStr">
        <is>
          <t>Dec-26</t>
        </is>
      </c>
    </row>
    <row r="2">
      <c r="A2" t="inlineStr">
        <is>
          <t>Subscription Revenue</t>
        </is>
      </c>
      <c r="B2" t="inlineStr">
        <is>
          <t>Revenue</t>
        </is>
      </c>
      <c r="C2">
        <f>'Forecast Inputs'!B6</f>
        <v/>
      </c>
      <c r="D2">
        <f>SUMIFS(Actuals!D2:D163,Actuals!A2:A163,A2,Actuals!B2:B163,"Jun-26")</f>
        <v/>
      </c>
      <c r="E2">
        <f>IF(C2="manual",'Forecast Inputs'!D6,IF(C2="flat",D2,D2*(1+'Forecast Inputs'!C6)^1))</f>
        <v/>
      </c>
      <c r="F2">
        <f>IF(C2="manual",'Forecast Inputs'!E6,IF(C2="flat",D2,D2*(1+'Forecast Inputs'!C6)^2))</f>
        <v/>
      </c>
      <c r="G2">
        <f>IF(C2="manual",'Forecast Inputs'!F6,IF(C2="flat",D2,D2*(1+'Forecast Inputs'!C6)^3))</f>
        <v/>
      </c>
      <c r="H2">
        <f>IF(C2="manual",'Forecast Inputs'!G6,IF(C2="flat",D2,D2*(1+'Forecast Inputs'!C6)^4))</f>
        <v/>
      </c>
      <c r="I2">
        <f>IF(C2="manual",'Forecast Inputs'!H6,IF(C2="flat",D2,D2*(1+'Forecast Inputs'!C6)^5))</f>
        <v/>
      </c>
      <c r="J2">
        <f>IF(C2="manual",'Forecast Inputs'!I6,IF(C2="flat",D2,D2*(1+'Forecast Inputs'!C6)^6))</f>
        <v/>
      </c>
    </row>
    <row r="3">
      <c r="A3" t="inlineStr">
        <is>
          <t>Usage Revenue</t>
        </is>
      </c>
      <c r="B3" t="inlineStr">
        <is>
          <t>Revenue</t>
        </is>
      </c>
      <c r="C3">
        <f>'Forecast Inputs'!B7</f>
        <v/>
      </c>
      <c r="D3">
        <f>SUMIFS(Actuals!D2:D163,Actuals!A2:A163,A3,Actuals!B2:B163,"Jun-26")</f>
        <v/>
      </c>
      <c r="E3">
        <f>IF(C3="manual",'Forecast Inputs'!D7,IF(C3="flat",D3,D3*(1+'Forecast Inputs'!C7)^1))</f>
        <v/>
      </c>
      <c r="F3">
        <f>IF(C3="manual",'Forecast Inputs'!E7,IF(C3="flat",D3,D3*(1+'Forecast Inputs'!C7)^2))</f>
        <v/>
      </c>
      <c r="G3">
        <f>IF(C3="manual",'Forecast Inputs'!F7,IF(C3="flat",D3,D3*(1+'Forecast Inputs'!C7)^3))</f>
        <v/>
      </c>
      <c r="H3">
        <f>IF(C3="manual",'Forecast Inputs'!G7,IF(C3="flat",D3,D3*(1+'Forecast Inputs'!C7)^4))</f>
        <v/>
      </c>
      <c r="I3">
        <f>IF(C3="manual",'Forecast Inputs'!H7,IF(C3="flat",D3,D3*(1+'Forecast Inputs'!C7)^5))</f>
        <v/>
      </c>
      <c r="J3">
        <f>IF(C3="manual",'Forecast Inputs'!I7,IF(C3="flat",D3,D3*(1+'Forecast Inputs'!C7)^6))</f>
        <v/>
      </c>
    </row>
    <row r="4">
      <c r="A4" t="inlineStr">
        <is>
          <t>Professional Services Rev</t>
        </is>
      </c>
      <c r="B4" t="inlineStr">
        <is>
          <t>Revenue</t>
        </is>
      </c>
      <c r="C4">
        <f>'Forecast Inputs'!B8</f>
        <v/>
      </c>
      <c r="D4">
        <f>SUMIFS(Actuals!D2:D163,Actuals!A2:A163,A4,Actuals!B2:B163,"Jun-26")</f>
        <v/>
      </c>
      <c r="E4">
        <f>IF(C4="manual",'Forecast Inputs'!D8,IF(C4="flat",D4,D4*(1+'Forecast Inputs'!C8)^1))</f>
        <v/>
      </c>
      <c r="F4">
        <f>IF(C4="manual",'Forecast Inputs'!E8,IF(C4="flat",D4,D4*(1+'Forecast Inputs'!C8)^2))</f>
        <v/>
      </c>
      <c r="G4">
        <f>IF(C4="manual",'Forecast Inputs'!F8,IF(C4="flat",D4,D4*(1+'Forecast Inputs'!C8)^3))</f>
        <v/>
      </c>
      <c r="H4">
        <f>IF(C4="manual",'Forecast Inputs'!G8,IF(C4="flat",D4,D4*(1+'Forecast Inputs'!C8)^4))</f>
        <v/>
      </c>
      <c r="I4">
        <f>IF(C4="manual",'Forecast Inputs'!H8,IF(C4="flat",D4,D4*(1+'Forecast Inputs'!C8)^5))</f>
        <v/>
      </c>
      <c r="J4">
        <f>IF(C4="manual",'Forecast Inputs'!I8,IF(C4="flat",D4,D4*(1+'Forecast Inputs'!C8)^6))</f>
        <v/>
      </c>
    </row>
    <row r="5">
      <c r="A5" t="inlineStr">
        <is>
          <t>Hosting &amp; Infrastructure</t>
        </is>
      </c>
      <c r="B5" t="inlineStr">
        <is>
          <t>Cost of Revenue</t>
        </is>
      </c>
      <c r="C5">
        <f>'Forecast Inputs'!B9</f>
        <v/>
      </c>
      <c r="D5">
        <f>SUMIFS(Actuals!D2:D163,Actuals!A2:A163,A5,Actuals!B2:B163,"Jun-26")</f>
        <v/>
      </c>
      <c r="E5">
        <f>IF(C5="manual",'Forecast Inputs'!D9,IF(C5="flat",D5,D5*(1+'Forecast Inputs'!C9)^1))</f>
        <v/>
      </c>
      <c r="F5">
        <f>IF(C5="manual",'Forecast Inputs'!E9,IF(C5="flat",D5,D5*(1+'Forecast Inputs'!C9)^2))</f>
        <v/>
      </c>
      <c r="G5">
        <f>IF(C5="manual",'Forecast Inputs'!F9,IF(C5="flat",D5,D5*(1+'Forecast Inputs'!C9)^3))</f>
        <v/>
      </c>
      <c r="H5">
        <f>IF(C5="manual",'Forecast Inputs'!G9,IF(C5="flat",D5,D5*(1+'Forecast Inputs'!C9)^4))</f>
        <v/>
      </c>
      <c r="I5">
        <f>IF(C5="manual",'Forecast Inputs'!H9,IF(C5="flat",D5,D5*(1+'Forecast Inputs'!C9)^5))</f>
        <v/>
      </c>
      <c r="J5">
        <f>IF(C5="manual",'Forecast Inputs'!I9,IF(C5="flat",D5,D5*(1+'Forecast Inputs'!C9)^6))</f>
        <v/>
      </c>
    </row>
    <row r="6">
      <c r="A6" t="inlineStr">
        <is>
          <t>Customer Support</t>
        </is>
      </c>
      <c r="B6" t="inlineStr">
        <is>
          <t>Cost of Revenue</t>
        </is>
      </c>
      <c r="C6">
        <f>'Forecast Inputs'!B10</f>
        <v/>
      </c>
      <c r="D6">
        <f>SUMIFS(Actuals!D2:D163,Actuals!A2:A163,A6,Actuals!B2:B163,"Jun-26")</f>
        <v/>
      </c>
      <c r="E6">
        <f>IF(C6="manual",'Forecast Inputs'!D10,IF(C6="flat",D6,D6*(1+'Forecast Inputs'!C10)^1))</f>
        <v/>
      </c>
      <c r="F6">
        <f>IF(C6="manual",'Forecast Inputs'!E10,IF(C6="flat",D6,D6*(1+'Forecast Inputs'!C10)^2))</f>
        <v/>
      </c>
      <c r="G6">
        <f>IF(C6="manual",'Forecast Inputs'!F10,IF(C6="flat",D6,D6*(1+'Forecast Inputs'!C10)^3))</f>
        <v/>
      </c>
      <c r="H6">
        <f>IF(C6="manual",'Forecast Inputs'!G10,IF(C6="flat",D6,D6*(1+'Forecast Inputs'!C10)^4))</f>
        <v/>
      </c>
      <c r="I6">
        <f>IF(C6="manual",'Forecast Inputs'!H10,IF(C6="flat",D6,D6*(1+'Forecast Inputs'!C10)^5))</f>
        <v/>
      </c>
      <c r="J6">
        <f>IF(C6="manual",'Forecast Inputs'!I10,IF(C6="flat",D6,D6*(1+'Forecast Inputs'!C10)^6))</f>
        <v/>
      </c>
    </row>
    <row r="7">
      <c r="A7" t="inlineStr">
        <is>
          <t>Services Delivery</t>
        </is>
      </c>
      <c r="B7" t="inlineStr">
        <is>
          <t>Cost of Revenue</t>
        </is>
      </c>
      <c r="C7">
        <f>'Forecast Inputs'!B11</f>
        <v/>
      </c>
      <c r="D7">
        <f>SUMIFS(Actuals!D2:D163,Actuals!A2:A163,A7,Actuals!B2:B163,"Jun-26")</f>
        <v/>
      </c>
      <c r="E7">
        <f>IF(C7="manual",'Forecast Inputs'!D11,IF(C7="flat",D7,D7*(1+'Forecast Inputs'!C11)^1))</f>
        <v/>
      </c>
      <c r="F7">
        <f>IF(C7="manual",'Forecast Inputs'!E11,IF(C7="flat",D7,D7*(1+'Forecast Inputs'!C11)^2))</f>
        <v/>
      </c>
      <c r="G7">
        <f>IF(C7="manual",'Forecast Inputs'!F11,IF(C7="flat",D7,D7*(1+'Forecast Inputs'!C11)^3))</f>
        <v/>
      </c>
      <c r="H7">
        <f>IF(C7="manual",'Forecast Inputs'!G11,IF(C7="flat",D7,D7*(1+'Forecast Inputs'!C11)^4))</f>
        <v/>
      </c>
      <c r="I7">
        <f>IF(C7="manual",'Forecast Inputs'!H11,IF(C7="flat",D7,D7*(1+'Forecast Inputs'!C11)^5))</f>
        <v/>
      </c>
      <c r="J7">
        <f>IF(C7="manual",'Forecast Inputs'!I11,IF(C7="flat",D7,D7*(1+'Forecast Inputs'!C11)^6))</f>
        <v/>
      </c>
    </row>
    <row r="8">
      <c r="A8" t="inlineStr">
        <is>
          <t>Sales &amp; Marketing</t>
        </is>
      </c>
      <c r="B8" t="inlineStr">
        <is>
          <t>Operating Expenses</t>
        </is>
      </c>
      <c r="C8">
        <f>'Forecast Inputs'!B12</f>
        <v/>
      </c>
      <c r="D8">
        <f>SUMIFS(Actuals!D2:D163,Actuals!A2:A163,A8,Actuals!B2:B163,"Jun-26")</f>
        <v/>
      </c>
      <c r="E8">
        <f>IF(C8="manual",'Forecast Inputs'!D12,IF(C8="flat",D8,D8*(1+'Forecast Inputs'!C12)^1))</f>
        <v/>
      </c>
      <c r="F8">
        <f>IF(C8="manual",'Forecast Inputs'!E12,IF(C8="flat",D8,D8*(1+'Forecast Inputs'!C12)^2))</f>
        <v/>
      </c>
      <c r="G8">
        <f>IF(C8="manual",'Forecast Inputs'!F12,IF(C8="flat",D8,D8*(1+'Forecast Inputs'!C12)^3))</f>
        <v/>
      </c>
      <c r="H8">
        <f>IF(C8="manual",'Forecast Inputs'!G12,IF(C8="flat",D8,D8*(1+'Forecast Inputs'!C12)^4))</f>
        <v/>
      </c>
      <c r="I8">
        <f>IF(C8="manual",'Forecast Inputs'!H12,IF(C8="flat",D8,D8*(1+'Forecast Inputs'!C12)^5))</f>
        <v/>
      </c>
      <c r="J8">
        <f>IF(C8="manual",'Forecast Inputs'!I12,IF(C8="flat",D8,D8*(1+'Forecast Inputs'!C12)^6))</f>
        <v/>
      </c>
    </row>
    <row r="9">
      <c r="A9" t="inlineStr">
        <is>
          <t>Research &amp; Development</t>
        </is>
      </c>
      <c r="B9" t="inlineStr">
        <is>
          <t>Operating Expenses</t>
        </is>
      </c>
      <c r="C9">
        <f>'Forecast Inputs'!B13</f>
        <v/>
      </c>
      <c r="D9">
        <f>SUMIFS(Actuals!D2:D163,Actuals!A2:A163,A9,Actuals!B2:B163,"Jun-26")</f>
        <v/>
      </c>
      <c r="E9">
        <f>IF(C9="manual",'Forecast Inputs'!D13,IF(C9="flat",D9,D9*(1+'Forecast Inputs'!C13)^1))</f>
        <v/>
      </c>
      <c r="F9">
        <f>IF(C9="manual",'Forecast Inputs'!E13,IF(C9="flat",D9,D9*(1+'Forecast Inputs'!C13)^2))</f>
        <v/>
      </c>
      <c r="G9">
        <f>IF(C9="manual",'Forecast Inputs'!F13,IF(C9="flat",D9,D9*(1+'Forecast Inputs'!C13)^3))</f>
        <v/>
      </c>
      <c r="H9">
        <f>IF(C9="manual",'Forecast Inputs'!G13,IF(C9="flat",D9,D9*(1+'Forecast Inputs'!C13)^4))</f>
        <v/>
      </c>
      <c r="I9">
        <f>IF(C9="manual",'Forecast Inputs'!H13,IF(C9="flat",D9,D9*(1+'Forecast Inputs'!C13)^5))</f>
        <v/>
      </c>
      <c r="J9">
        <f>IF(C9="manual",'Forecast Inputs'!I13,IF(C9="flat",D9,D9*(1+'Forecast Inputs'!C13)^6))</f>
        <v/>
      </c>
    </row>
    <row r="10">
      <c r="A10" t="inlineStr">
        <is>
          <t>General &amp; Administrative</t>
        </is>
      </c>
      <c r="B10" t="inlineStr">
        <is>
          <t>Operating Expenses</t>
        </is>
      </c>
      <c r="C10">
        <f>'Forecast Inputs'!B14</f>
        <v/>
      </c>
      <c r="D10">
        <f>SUMIFS(Actuals!D2:D163,Actuals!A2:A163,A10,Actuals!B2:B163,"Jun-26")</f>
        <v/>
      </c>
      <c r="E10">
        <f>IF(C10="manual",'Forecast Inputs'!D14,IF(C10="flat",D10,D10*(1+'Forecast Inputs'!C14)^1))</f>
        <v/>
      </c>
      <c r="F10">
        <f>IF(C10="manual",'Forecast Inputs'!E14,IF(C10="flat",D10,D10*(1+'Forecast Inputs'!C14)^2))</f>
        <v/>
      </c>
      <c r="G10">
        <f>IF(C10="manual",'Forecast Inputs'!F14,IF(C10="flat",D10,D10*(1+'Forecast Inputs'!C14)^3))</f>
        <v/>
      </c>
      <c r="H10">
        <f>IF(C10="manual",'Forecast Inputs'!G14,IF(C10="flat",D10,D10*(1+'Forecast Inputs'!C14)^4))</f>
        <v/>
      </c>
      <c r="I10">
        <f>IF(C10="manual",'Forecast Inputs'!H14,IF(C10="flat",D10,D10*(1+'Forecast Inputs'!C14)^5))</f>
        <v/>
      </c>
      <c r="J10">
        <f>IF(C10="manual",'Forecast Inputs'!I14,IF(C10="flat",D10,D10*(1+'Forecast Inputs'!C14)^6))</f>
        <v/>
      </c>
    </row>
    <row r="11">
      <c r="A11" t="inlineStr">
        <is>
          <t>People / Recruiting</t>
        </is>
      </c>
      <c r="B11" t="inlineStr">
        <is>
          <t>Operating Expenses</t>
        </is>
      </c>
      <c r="C11">
        <f>'Forecast Inputs'!B15</f>
        <v/>
      </c>
      <c r="D11">
        <f>SUMIFS(Actuals!D2:D163,Actuals!A2:A163,A11,Actuals!B2:B163,"Jun-26")</f>
        <v/>
      </c>
      <c r="E11">
        <f>IF(C11="manual",'Forecast Inputs'!D15,IF(C11="flat",D11,D11*(1+'Forecast Inputs'!C15)^1))</f>
        <v/>
      </c>
      <c r="F11">
        <f>IF(C11="manual",'Forecast Inputs'!E15,IF(C11="flat",D11,D11*(1+'Forecast Inputs'!C15)^2))</f>
        <v/>
      </c>
      <c r="G11">
        <f>IF(C11="manual",'Forecast Inputs'!F15,IF(C11="flat",D11,D11*(1+'Forecast Inputs'!C15)^3))</f>
        <v/>
      </c>
      <c r="H11">
        <f>IF(C11="manual",'Forecast Inputs'!G15,IF(C11="flat",D11,D11*(1+'Forecast Inputs'!C15)^4))</f>
        <v/>
      </c>
      <c r="I11">
        <f>IF(C11="manual",'Forecast Inputs'!H15,IF(C11="flat",D11,D11*(1+'Forecast Inputs'!C15)^5))</f>
        <v/>
      </c>
      <c r="J11">
        <f>IF(C11="manual",'Forecast Inputs'!I15,IF(C11="flat",D11,D11*(1+'Forecast Inputs'!C15)^6))</f>
        <v/>
      </c>
    </row>
    <row r="12">
      <c r="A12" t="inlineStr">
        <is>
          <t>Depreciation &amp; Amort.</t>
        </is>
      </c>
      <c r="B12" t="inlineStr">
        <is>
          <t>Below the Line</t>
        </is>
      </c>
      <c r="C12">
        <f>'Forecast Inputs'!B16</f>
        <v/>
      </c>
      <c r="D12">
        <f>SUMIFS(Actuals!D2:D163,Actuals!A2:A163,A12,Actuals!B2:B163,"Jun-26")</f>
        <v/>
      </c>
      <c r="E12">
        <f>IF(C12="manual",'Forecast Inputs'!D16,IF(C12="flat",D12,D12*(1+'Forecast Inputs'!C16)^1))</f>
        <v/>
      </c>
      <c r="F12">
        <f>IF(C12="manual",'Forecast Inputs'!E16,IF(C12="flat",D12,D12*(1+'Forecast Inputs'!C16)^2))</f>
        <v/>
      </c>
      <c r="G12">
        <f>IF(C12="manual",'Forecast Inputs'!F16,IF(C12="flat",D12,D12*(1+'Forecast Inputs'!C16)^3))</f>
        <v/>
      </c>
      <c r="H12">
        <f>IF(C12="manual",'Forecast Inputs'!G16,IF(C12="flat",D12,D12*(1+'Forecast Inputs'!C16)^4))</f>
        <v/>
      </c>
      <c r="I12">
        <f>IF(C12="manual",'Forecast Inputs'!H16,IF(C12="flat",D12,D12*(1+'Forecast Inputs'!C16)^5))</f>
        <v/>
      </c>
      <c r="J12">
        <f>IF(C12="manual",'Forecast Inputs'!I16,IF(C12="flat",D12,D12*(1+'Forecast Inputs'!C16)^6))</f>
        <v/>
      </c>
    </row>
    <row r="13">
      <c r="A13" t="inlineStr">
        <is>
          <t>Interest Expense</t>
        </is>
      </c>
      <c r="B13" t="inlineStr">
        <is>
          <t>Below the Line</t>
        </is>
      </c>
      <c r="C13">
        <f>'Forecast Inputs'!B17</f>
        <v/>
      </c>
      <c r="D13">
        <f>SUMIFS(Actuals!D2:D163,Actuals!A2:A163,A13,Actuals!B2:B163,"Jun-26")</f>
        <v/>
      </c>
      <c r="E13">
        <f>IF(C13="manual",'Forecast Inputs'!D17,IF(C13="flat",D13,D13*(1+'Forecast Inputs'!C17)^1))</f>
        <v/>
      </c>
      <c r="F13">
        <f>IF(C13="manual",'Forecast Inputs'!E17,IF(C13="flat",D13,D13*(1+'Forecast Inputs'!C17)^2))</f>
        <v/>
      </c>
      <c r="G13">
        <f>IF(C13="manual",'Forecast Inputs'!F17,IF(C13="flat",D13,D13*(1+'Forecast Inputs'!C17)^3))</f>
        <v/>
      </c>
      <c r="H13">
        <f>IF(C13="manual",'Forecast Inputs'!G17,IF(C13="flat",D13,D13*(1+'Forecast Inputs'!C17)^4))</f>
        <v/>
      </c>
      <c r="I13">
        <f>IF(C13="manual",'Forecast Inputs'!H17,IF(C13="flat",D13,D13*(1+'Forecast Inputs'!C17)^5))</f>
        <v/>
      </c>
      <c r="J13">
        <f>IF(C13="manual",'Forecast Inputs'!I17,IF(C13="flat",D13,D13*(1+'Forecast Inputs'!C17)^6))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M33" t="inlineStr">
        <is>
          <t>Annual Net Income</t>
        </is>
      </c>
      <c r="N33">
        <f>(SUMIFS(Actuals!D2:D163,Actuals!C2:C163,"Revenue")+SUMIFS(Forecast!E2:E13,Forecast!B2:B13,"Revenue")+SUMIFS(Forecast!F2:F13,Forecast!B2:B13,"Revenue")+SUMIFS(Forecast!G2:G13,Forecast!B2:B13,"Revenue")+SUMIFS(Forecast!H2:H13,Forecast!B2:B13,"Revenue")+SUMIFS(Forecast!I2:I13,Forecast!B2:B13,"Revenue")+SUMIFS(Forecast!J2:J13,Forecast!B2:B13,"Revenue"))-(SUMIFS(Actuals!D2:D163,Actuals!C2:C163,"Cost of Revenue")+SUMIFS(Forecast!E2:E13,Forecast!B2:B13,"Cost of Revenue")+SUMIFS(Forecast!F2:F13,Forecast!B2:B13,"Cost of Revenue")+SUMIFS(Forecast!G2:G13,Forecast!B2:B13,"Cost of Revenue")+SUMIFS(Forecast!H2:H13,Forecast!B2:B13,"Cost of Revenue")+SUMIFS(Forecast!I2:I13,Forecast!B2:B13,"Cost of Revenue")+SUMIFS(Forecast!J2:J13,Forecast!B2:B13,"Cost of Revenue"))-(SUMIFS(Actuals!D2:D163,Actuals!C2:C163,"Operating Expenses")+SUMIFS(Forecast!E2:E13,Forecast!B2:B13,"Operating Expenses")+SUMIFS(Forecast!F2:F13,Forecast!B2:B13,"Operating Expenses")+SUMIFS(Forecast!G2:G13,Forecast!B2:B13,"Operating Expenses")+SUMIFS(Forecast!H2:H13,Forecast!B2:B13,"Operating Expenses")+SUMIFS(Forecast!I2:I13,Forecast!B2:B13,"Operating Expenses")+SUMIFS(Forecast!J2:J13,Forecast!B2:B13,"Operating Expenses"))-(SUMIFS(Actuals!D2:D163,Actuals!C2:C163,"Below the Line")+SUMIFS(Forecast!E2:E13,Forecast!B2:B13,"Below the Line")+SUMIFS(Forecast!F2:F13,Forecast!B2:B13,"Below the Line")+SUMIFS(Forecast!G2:G13,Forecast!B2:B13,"Below the Line")+SUMIFS(Forecast!H2:H13,Forecast!B2:B13,"Below the Line")+SUMIFS(Forecast!I2:I13,Forecast!B2:B13,"Below the Line")+SUMIFS(Forecast!J2:J13,Forecast!B2:B13,"Below the Line"))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2026-10-15T21:37:39Z</dcterms:created>
  <dcterms:modified xsi:type="dcterms:W3CDTF">2026-10-15T21:37:39Z</dcterms:modified>
</cp:coreProperties>
</file>